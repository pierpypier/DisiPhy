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ONIBILITA" sheetId="1" r:id="rId5"/>
    <sheet state="visible" name="IntesaCC" sheetId="2" r:id="rId6"/>
    <sheet state="visible" name="FindomesticCC" sheetId="3" r:id="rId7"/>
    <sheet state="visible" name="spese" sheetId="4" r:id="rId8"/>
    <sheet state="visible" name="Acquisti" sheetId="5" r:id="rId9"/>
    <sheet state="visible" name="Note" sheetId="6" r:id="rId10"/>
    <sheet state="visible" name="versamento" sheetId="7" r:id="rId11"/>
    <sheet state="visible" name="contodiletta" sheetId="8" r:id="rId12"/>
    <sheet state="visible" name="Contanti" sheetId="9" r:id="rId13"/>
  </sheets>
  <definedNames/>
  <calcPr/>
</workbook>
</file>

<file path=xl/sharedStrings.xml><?xml version="1.0" encoding="utf-8"?>
<sst xmlns="http://schemas.openxmlformats.org/spreadsheetml/2006/main" count="282" uniqueCount="219">
  <si>
    <t xml:space="preserve">QUADRO CONTABILE GENERALE </t>
  </si>
  <si>
    <t xml:space="preserve">aggiornato al </t>
  </si>
  <si>
    <t>IMPORTI SPESE FISSE, ACQUISTI ONLINE E VARIE</t>
  </si>
  <si>
    <t>DISPONIBILITÀ DI SPESA INTESA</t>
  </si>
  <si>
    <t>n.</t>
  </si>
  <si>
    <t>alert!</t>
  </si>
  <si>
    <t>Totale spese rimandabili</t>
  </si>
  <si>
    <t>Scadenza</t>
  </si>
  <si>
    <t>Periodo (giorni)</t>
  </si>
  <si>
    <t>Saldo alla data odierna</t>
  </si>
  <si>
    <t>Giorni mancanti</t>
  </si>
  <si>
    <t>I</t>
  </si>
  <si>
    <t>Saldo INTESA</t>
  </si>
  <si>
    <t>Disponibilità minima</t>
  </si>
  <si>
    <t>Prelievo/Versamento</t>
  </si>
  <si>
    <t xml:space="preserve">DISPONIBILITÀ DI SPESA FINDOMESTIC </t>
  </si>
  <si>
    <t>F</t>
  </si>
  <si>
    <t xml:space="preserve">Saldo FINDOMESTIC </t>
  </si>
  <si>
    <t xml:space="preserve">Totale giacenza necessaria </t>
  </si>
  <si>
    <t>DISPONIBILITÀ DI SPESA CONTANTI</t>
  </si>
  <si>
    <t xml:space="preserve">CONTO DEPOSITO Findomestic </t>
  </si>
  <si>
    <t>Spese rimandabili</t>
  </si>
  <si>
    <t>TOTALE GIACENZA</t>
  </si>
  <si>
    <t>Conto Deposito</t>
  </si>
  <si>
    <t xml:space="preserve">🌍 DISPONIBILITÀ ACQUISTI ONLINE </t>
  </si>
  <si>
    <t>Totale spese fisse, programmate e varie</t>
  </si>
  <si>
    <t>Disponibilità totale</t>
  </si>
  <si>
    <t>DEPOSITO RISPARMI CC</t>
  </si>
  <si>
    <t xml:space="preserve">Saldo alla data odierna </t>
  </si>
  <si>
    <t>Giacenza Minima</t>
  </si>
  <si>
    <t xml:space="preserve">Prelievo massimo </t>
  </si>
  <si>
    <t>Possibile prelievo/versamento da Intesa</t>
  </si>
  <si>
    <t>TOTALE CAPACITÀ DI SPESA</t>
  </si>
  <si>
    <t>DISPONIBILITÀ CONTABILE</t>
  </si>
  <si>
    <t xml:space="preserve">CC Intesa dopo prelievo/versamento </t>
  </si>
  <si>
    <t xml:space="preserve">CC Findomestic dopo prelievo/versamento </t>
  </si>
  <si>
    <t xml:space="preserve">Importi fissi e spese online </t>
  </si>
  <si>
    <t xml:space="preserve">Accrediti in programma </t>
  </si>
  <si>
    <t>Giacenza dopo eventuali accrediti</t>
  </si>
  <si>
    <t>SALDO CONTI CORRENTI E DEPOSITO</t>
  </si>
  <si>
    <t>i</t>
  </si>
  <si>
    <t xml:space="preserve">Finanziamento Findomestic </t>
  </si>
  <si>
    <t>SALDO AGGIORNATO INTESA</t>
  </si>
  <si>
    <t>Assestamenti (30 gg x 18+3 €)</t>
  </si>
  <si>
    <t>saldo prima del giroconto:</t>
  </si>
  <si>
    <t xml:space="preserve">SALDO AGGIORNATO FINDOMESTIC </t>
  </si>
  <si>
    <t>Cellulare  Pier</t>
  </si>
  <si>
    <t>Cellulare Simo</t>
  </si>
  <si>
    <t>Cellulare Diletta</t>
  </si>
  <si>
    <t>Netflix</t>
  </si>
  <si>
    <t xml:space="preserve">Arrampicata Diletta </t>
  </si>
  <si>
    <t xml:space="preserve">CONTO DEPOSITO FINDOMESTIC </t>
  </si>
  <si>
    <t>Acquisti vari on-line</t>
  </si>
  <si>
    <t>f</t>
  </si>
  <si>
    <t>Da versare nel conto di Diletta</t>
  </si>
  <si>
    <t xml:space="preserve">Giroconto da Intesa a Findomestic </t>
  </si>
  <si>
    <t>CONTANTI A DEPOSITO</t>
  </si>
  <si>
    <t xml:space="preserve">CONTANTI LIQUIDITÀ </t>
  </si>
  <si>
    <t>CONTANTI GIACENZA TOTALE</t>
  </si>
  <si>
    <t xml:space="preserve">costi cc bancario Findomestic </t>
  </si>
  <si>
    <t>PATRIMONIO TOTALE CONTABILE</t>
  </si>
  <si>
    <t>Spese a scadenza programmata</t>
  </si>
  <si>
    <t>Somma del patrimonio totale derivante da conti correnti, depositi bancari e contanti</t>
  </si>
  <si>
    <t xml:space="preserve">PATRIMONIO A DISPOSIZIONE </t>
  </si>
  <si>
    <t>quota assicurazione c3 (scadenza 27/11/2026)</t>
  </si>
  <si>
    <t>Somma depositi e conti correnti bancari netti delle spese programmate</t>
  </si>
  <si>
    <t>quota assicurazione c1</t>
  </si>
  <si>
    <t>TOTALE RISPARMI</t>
  </si>
  <si>
    <t>quota bollo c1</t>
  </si>
  <si>
    <t>Somma totale composta da deposito bancario (deposito risparmi CC Intesa + deposito Findomestic) e deposito contanti</t>
  </si>
  <si>
    <t xml:space="preserve">Riepilogo conti e giacenze </t>
  </si>
  <si>
    <t>quota condominio (trimestre)</t>
  </si>
  <si>
    <t xml:space="preserve">Saldo Findomestic </t>
  </si>
  <si>
    <t>quota bollo c3</t>
  </si>
  <si>
    <t xml:space="preserve">Conto Deposito Findomestic </t>
  </si>
  <si>
    <t>Tari (ott. dic. feb. apr.)</t>
  </si>
  <si>
    <t>Saldo Intesa</t>
  </si>
  <si>
    <t>dopo il saldo: 180 GG. Tra le rate: 60 gg</t>
  </si>
  <si>
    <t>Giacenza necessaria Intesa</t>
  </si>
  <si>
    <t>Eni luce e gas</t>
  </si>
  <si>
    <t>Abbanoa</t>
  </si>
  <si>
    <t>Giacenza limite Intesa</t>
  </si>
  <si>
    <t xml:space="preserve">Giacenza limite Findomestic </t>
  </si>
  <si>
    <t>Tagliando C3</t>
  </si>
  <si>
    <t>Totale giacenza effettiva</t>
  </si>
  <si>
    <t>Distribuzione C3</t>
  </si>
  <si>
    <t>Garanzia Motore C3</t>
  </si>
  <si>
    <t>Spese varie (bollette ecc.)</t>
  </si>
  <si>
    <t>PEC Aruba</t>
  </si>
  <si>
    <t>Revisione C1</t>
  </si>
  <si>
    <t>Revisione C3</t>
  </si>
  <si>
    <t xml:space="preserve">Acquisti on-line </t>
  </si>
  <si>
    <t>Descrizione</t>
  </si>
  <si>
    <t xml:space="preserve">Importo </t>
  </si>
  <si>
    <t>shein</t>
  </si>
  <si>
    <t>temu</t>
  </si>
  <si>
    <t>Movimento</t>
  </si>
  <si>
    <t xml:space="preserve">Data </t>
  </si>
  <si>
    <t>Quattordicesima Pier 2021</t>
  </si>
  <si>
    <t>Tredicesima Pier 2021</t>
  </si>
  <si>
    <t>Quattordicesima Pier 2022</t>
  </si>
  <si>
    <t>Tredicesima Pier 2022</t>
  </si>
  <si>
    <t>Quattordicesima Pier 2023</t>
  </si>
  <si>
    <t>Tredicesima Pier 2023</t>
  </si>
  <si>
    <t>Quattordicesima Pier 2024</t>
  </si>
  <si>
    <t>Tredicesima Pier 2024</t>
  </si>
  <si>
    <t>Stipendio Giugno 25</t>
  </si>
  <si>
    <t>Quattordicesima Pier 2025</t>
  </si>
  <si>
    <t>stipendio luglio 25</t>
  </si>
  <si>
    <t>stipendio agosto 25</t>
  </si>
  <si>
    <t>stipendio settembre 25</t>
  </si>
  <si>
    <t>stipendio ottobre 25</t>
  </si>
  <si>
    <t>stipendio novembre 25</t>
  </si>
  <si>
    <t>Tredicesima Pier 2025</t>
  </si>
  <si>
    <t>stipendio dicembre 25</t>
  </si>
  <si>
    <t>stipendio gennaio 26</t>
  </si>
  <si>
    <t>stipendio febbraio 26</t>
  </si>
  <si>
    <t>stipendio marzo 26</t>
  </si>
  <si>
    <t>stipendio aprile 26 (istant.)</t>
  </si>
  <si>
    <t>stipendio maggio 26</t>
  </si>
  <si>
    <t>stipendio giugno 26</t>
  </si>
  <si>
    <t>Quattordicesima Pier 2026</t>
  </si>
  <si>
    <t xml:space="preserve">Totale versamento su CC Findomestic </t>
  </si>
  <si>
    <t>Giacenza Findo</t>
  </si>
  <si>
    <t>Conto deposito</t>
  </si>
  <si>
    <t>Benzina C1</t>
  </si>
  <si>
    <t>Benzina C3</t>
  </si>
  <si>
    <t>Liquidi</t>
  </si>
  <si>
    <t>Laser Diletta</t>
  </si>
  <si>
    <t xml:space="preserve">Caffè </t>
  </si>
  <si>
    <t>Spese conto corrente</t>
  </si>
  <si>
    <t xml:space="preserve">Parrucchiera Simona </t>
  </si>
  <si>
    <t>Barbiere Pier</t>
  </si>
  <si>
    <t xml:space="preserve">Condominio </t>
  </si>
  <si>
    <t>Spese varie</t>
  </si>
  <si>
    <t>Regalo Diletta Natale</t>
  </si>
  <si>
    <t>TOTALE RISPARMI DILETTA</t>
  </si>
  <si>
    <t xml:space="preserve">Importo totale dei risparmi, considerati i soldi in contanti conservati,  il residuo su carta , gli importi prelevati da mamma e papà da restituire tramite ricariche su carta o contanti e le eventuali entrate su conti diversi da versare su carta con ricarica se non ancora fatto (es. bonus, regali, rimborsi, borse di studio ecc.). </t>
  </si>
  <si>
    <t>COMPOSTI DA:</t>
  </si>
  <si>
    <t>Disponibilità Attuale Contante</t>
  </si>
  <si>
    <t>Disponibilità Attuale Carta Flash</t>
  </si>
  <si>
    <t xml:space="preserve">GESTIONE CONTANTI </t>
  </si>
  <si>
    <t xml:space="preserve">TOTALE DISPONIBILITÀ ATTUALE </t>
  </si>
  <si>
    <t>+</t>
  </si>
  <si>
    <t>TOTALE ANCORA DA VERSARE</t>
  </si>
  <si>
    <t>Disponibilità Deposito Contante</t>
  </si>
  <si>
    <t>Importi prelevati dai contanti da mamma e papà per acquisti in contanti (da restituire in contanti o. con ricarica) o per versare sulla carta Flash tramite ricarica</t>
  </si>
  <si>
    <t>Disponibilità Liquidità contanti</t>
  </si>
  <si>
    <t>QUADRO CONTABILE</t>
  </si>
  <si>
    <t xml:space="preserve">ENTRATE IN CONTANTI </t>
  </si>
  <si>
    <t xml:space="preserve">ENTRATE CARTA FLASH </t>
  </si>
  <si>
    <t xml:space="preserve">MOVIMENTI IN CONTANTI </t>
  </si>
  <si>
    <t>TOTALE ENTRATE DILETTA</t>
  </si>
  <si>
    <t>CONTABILITÀ ENTRATE / USCITE</t>
  </si>
  <si>
    <t>Somma delle entrate materialmente già percepite</t>
  </si>
  <si>
    <t>-</t>
  </si>
  <si>
    <t>Parziali</t>
  </si>
  <si>
    <t xml:space="preserve">Descrizione operazioni </t>
  </si>
  <si>
    <t xml:space="preserve">Entrate </t>
  </si>
  <si>
    <t xml:space="preserve"> SPESE PERSONALI IN CONTANTI</t>
  </si>
  <si>
    <t>Uscite</t>
  </si>
  <si>
    <t>Giroconto da deposito 22/5/26</t>
  </si>
  <si>
    <t xml:space="preserve">Prelievo per liquidità </t>
  </si>
  <si>
    <t xml:space="preserve"> SPESE PERSONALI CON CARTA FLASH</t>
  </si>
  <si>
    <t>prelievo per liquidità 24/5/26</t>
  </si>
  <si>
    <t xml:space="preserve">TOTALE USCITE DILETTA </t>
  </si>
  <si>
    <t xml:space="preserve">prelievo per liquidità </t>
  </si>
  <si>
    <t>giroconto 13/6/26</t>
  </si>
  <si>
    <t xml:space="preserve">Totale degli acquisti e delle spese eseguite con carta e in contanti </t>
  </si>
  <si>
    <t xml:space="preserve">prelievo </t>
  </si>
  <si>
    <t>prelievo per spesa</t>
  </si>
  <si>
    <t xml:space="preserve">spese varie </t>
  </si>
  <si>
    <t>TOTALE DISPONIBILITÀ CONTABILE</t>
  </si>
  <si>
    <t>giroconto 24/7/26</t>
  </si>
  <si>
    <t>spese varie</t>
  </si>
  <si>
    <t>ENTRATE</t>
  </si>
  <si>
    <t xml:space="preserve">TOTALE ENTRATE IN CONTANTI </t>
  </si>
  <si>
    <t xml:space="preserve">Contanti da regali di Natale </t>
  </si>
  <si>
    <t xml:space="preserve">Contanti regalo zia Lore </t>
  </si>
  <si>
    <t>Contanti regalo Pasqua nonni</t>
  </si>
  <si>
    <t xml:space="preserve">regalo nonna Antonella promozione </t>
  </si>
  <si>
    <t>ACCREDITI ESTERNIB CARTA FLASH</t>
  </si>
  <si>
    <t xml:space="preserve">USCITE </t>
  </si>
  <si>
    <t xml:space="preserve">RISPARMI IN CONTANTI </t>
  </si>
  <si>
    <t xml:space="preserve">Acquisti in contanti </t>
  </si>
  <si>
    <t>Data</t>
  </si>
  <si>
    <t>Importo</t>
  </si>
  <si>
    <t>Entrate</t>
  </si>
  <si>
    <t>Entrata contanti 19/05/26</t>
  </si>
  <si>
    <t>prelievo per liquidità 22/5/26</t>
  </si>
  <si>
    <t>regalo mamma e papà 23/5</t>
  </si>
  <si>
    <t>prelievo 7/6/26</t>
  </si>
  <si>
    <t>prelievo 13/6/26</t>
  </si>
  <si>
    <t>prelievo 24 7 26</t>
  </si>
  <si>
    <t xml:space="preserve"> SPESE PERSONALI CON CARTA</t>
  </si>
  <si>
    <t>Pagamenti con carta Flash</t>
  </si>
  <si>
    <t>varie</t>
  </si>
  <si>
    <t>MOVIMENTI</t>
  </si>
  <si>
    <t>CONTABILITÀ DARE / AVERE</t>
  </si>
  <si>
    <t>Dare</t>
  </si>
  <si>
    <t>Avere</t>
  </si>
  <si>
    <t>Bonus libri da versare</t>
  </si>
  <si>
    <t xml:space="preserve">Regalo mamma e papà </t>
  </si>
  <si>
    <t>Ricarica quota borsa di studio 20/12/25</t>
  </si>
  <si>
    <t>Ricarica regalo di natale mamyepapy 17/01/26</t>
  </si>
  <si>
    <t>Ricarica 2 quota bonus libri  07/02/26</t>
  </si>
  <si>
    <t>Ricarica saldo bonus libri 17/02/26</t>
  </si>
  <si>
    <t>Prelievo per contanti Sinona  07/04/26</t>
  </si>
  <si>
    <t>Prelievo per arrampicata 14/04/26</t>
  </si>
  <si>
    <t>Prelevati per prodotti Betty  16/4/26</t>
  </si>
  <si>
    <t>Prelevati per Luca 16/4/26</t>
  </si>
  <si>
    <t>Prelevati per laser 23/4/26</t>
  </si>
  <si>
    <t>Prelevati per spesa 30/4/26</t>
  </si>
  <si>
    <t>Prelievo per arrampicata 11/05/26</t>
  </si>
  <si>
    <t>ricarica carta 18.06.26</t>
  </si>
  <si>
    <t>ricarica carta 23.06.26</t>
  </si>
  <si>
    <t>ricarica carta 24/6/26</t>
  </si>
  <si>
    <t xml:space="preserve">bonus libri da versare </t>
  </si>
  <si>
    <t>ricarica 7.8.26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</si>
</sst>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[$€-2]\ #,##0.00"/>
    <numFmt numFmtId="166" formatCode="_-[$€-2]* #,##0.00_-;_-[$€-2]* \-#,##0.00_-;_-[$€-2]* &quot;-&quot;??_-;_-@"/>
    <numFmt numFmtId="167" formatCode="_-[$€-2]* #,##0.00_-;_-[$€-2]* \-#,##0.00_-;_-[$€-2]* &quot;-&quot;??.00_-;_-@"/>
    <numFmt numFmtId="168" formatCode="[$€-2]\ #,##0"/>
  </numFmts>
  <fonts count="3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  <font>
      <b/>
      <color rgb="FFFFFFFF"/>
      <name val="Arial"/>
      <scheme val="minor"/>
    </font>
    <font>
      <b/>
      <sz val="7.0"/>
      <color theme="1"/>
      <name val="Arial"/>
      <scheme val="minor"/>
    </font>
    <font>
      <b/>
      <sz val="12.0"/>
      <color theme="1"/>
      <name val="Arial"/>
      <scheme val="minor"/>
    </font>
    <font>
      <b/>
      <sz val="24.0"/>
      <color theme="1"/>
      <name val="Arial"/>
      <scheme val="minor"/>
    </font>
    <font>
      <sz val="18.0"/>
      <color rgb="FFFFFFFF"/>
      <name val="Arial"/>
      <scheme val="minor"/>
    </font>
    <font>
      <b/>
      <sz val="11.0"/>
      <color theme="1"/>
      <name val="Arial"/>
      <scheme val="minor"/>
    </font>
    <font>
      <b/>
      <i/>
      <u/>
      <color rgb="FFFF0000"/>
      <name val="Arial"/>
      <scheme val="minor"/>
    </font>
    <font>
      <b/>
      <color rgb="FF980000"/>
      <name val="Arial"/>
      <scheme val="minor"/>
    </font>
    <font>
      <b/>
      <sz val="36.0"/>
      <color rgb="FF38761D"/>
      <name val="Arial"/>
      <scheme val="minor"/>
    </font>
    <font>
      <b/>
      <color rgb="FFB7B7B7"/>
      <name val="Arial"/>
      <scheme val="minor"/>
    </font>
    <font>
      <color rgb="FFB7B7B7"/>
      <name val="Arial"/>
      <scheme val="minor"/>
    </font>
    <font>
      <b/>
      <sz val="24.0"/>
      <color rgb="FF38761D"/>
      <name val="Arial"/>
      <scheme val="minor"/>
    </font>
    <font>
      <color rgb="FF3D85C6"/>
      <name val="Arial"/>
      <scheme val="minor"/>
    </font>
    <font>
      <color rgb="FFF3F3F3"/>
      <name val="Arial"/>
      <scheme val="minor"/>
    </font>
    <font>
      <sz val="12.0"/>
      <color theme="1"/>
      <name val="Arial"/>
      <scheme val="minor"/>
    </font>
    <font>
      <b/>
      <sz val="9.0"/>
      <color theme="1"/>
      <name val="Arial"/>
      <scheme val="minor"/>
    </font>
    <font>
      <b/>
      <sz val="18.0"/>
      <color rgb="FF38761D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rgb="FFD9D9D9"/>
      <name val="Arial"/>
      <scheme val="minor"/>
    </font>
    <font>
      <b/>
      <sz val="18.0"/>
      <color rgb="FFFFFFFF"/>
      <name val="Arial"/>
      <scheme val="minor"/>
    </font>
    <font>
      <b/>
      <sz val="36.0"/>
      <color rgb="FFFFFFFF"/>
      <name val="Arial"/>
      <scheme val="minor"/>
    </font>
    <font>
      <sz val="8.0"/>
      <color theme="1"/>
      <name val="Arial"/>
      <scheme val="minor"/>
    </font>
    <font>
      <b/>
      <color rgb="FF134F5C"/>
      <name val="Arial"/>
      <scheme val="minor"/>
    </font>
    <font>
      <b/>
      <color rgb="FF99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E6B8AF"/>
        <bgColor rgb="FFE6B8AF"/>
      </patternFill>
    </fill>
    <fill>
      <patternFill patternType="solid">
        <fgColor rgb="FFA64D79"/>
        <bgColor rgb="FFA64D7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</fills>
  <borders count="4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readingOrder="0"/>
    </xf>
    <xf borderId="3" fillId="0" fontId="4" numFmtId="0" xfId="0" applyBorder="1" applyFont="1"/>
    <xf borderId="2" fillId="0" fontId="1" numFmtId="0" xfId="0" applyAlignment="1" applyBorder="1" applyFont="1">
      <alignment horizontal="center" readingOrder="0" vertical="bottom"/>
    </xf>
    <xf borderId="0" fillId="0" fontId="5" numFmtId="0" xfId="0" applyFont="1"/>
    <xf borderId="4" fillId="2" fontId="6" numFmtId="0" xfId="0" applyAlignment="1" applyBorder="1" applyFill="1" applyFon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/>
    </xf>
    <xf borderId="4" fillId="0" fontId="3" numFmtId="14" xfId="0" applyAlignment="1" applyBorder="1" applyFont="1" applyNumberFormat="1">
      <alignment horizontal="center" readingOrder="0"/>
    </xf>
    <xf borderId="5" fillId="0" fontId="4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4" fillId="0" fontId="1" numFmtId="164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7" fillId="0" fontId="4" numFmtId="0" xfId="0" applyBorder="1" applyFont="1"/>
    <xf borderId="8" fillId="0" fontId="1" numFmtId="165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wrapText="1"/>
    </xf>
    <xf borderId="2" fillId="0" fontId="1" numFmtId="166" xfId="0" applyAlignment="1" applyBorder="1" applyFont="1" applyNumberFormat="1">
      <alignment readingOrder="0"/>
    </xf>
    <xf borderId="9" fillId="0" fontId="9" numFmtId="166" xfId="0" applyAlignment="1" applyBorder="1" applyFont="1" applyNumberFormat="1">
      <alignment horizontal="center"/>
    </xf>
    <xf borderId="2" fillId="0" fontId="3" numFmtId="0" xfId="0" applyBorder="1" applyFont="1"/>
    <xf borderId="10" fillId="0" fontId="3" numFmtId="164" xfId="0" applyBorder="1" applyFont="1" applyNumberFormat="1"/>
    <xf borderId="11" fillId="0" fontId="4" numFmtId="0" xfId="0" applyBorder="1" applyFont="1"/>
    <xf borderId="12" fillId="0" fontId="4" numFmtId="0" xfId="0" applyBorder="1" applyFont="1"/>
    <xf borderId="10" fillId="0" fontId="1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3" numFmtId="166" xfId="0" applyFont="1" applyNumberFormat="1"/>
    <xf borderId="2" fillId="0" fontId="1" numFmtId="166" xfId="0" applyBorder="1" applyFont="1" applyNumberFormat="1"/>
    <xf borderId="10" fillId="0" fontId="3" numFmtId="0" xfId="0" applyBorder="1" applyFont="1"/>
    <xf borderId="6" fillId="0" fontId="11" numFmtId="0" xfId="0" applyAlignment="1" applyBorder="1" applyFont="1">
      <alignment horizontal="center" readingOrder="0"/>
    </xf>
    <xf borderId="2" fillId="0" fontId="3" numFmtId="165" xfId="0" applyBorder="1" applyFont="1" applyNumberFormat="1"/>
    <xf borderId="13" fillId="0" fontId="3" numFmtId="164" xfId="0" applyBorder="1" applyFont="1" applyNumberFormat="1"/>
    <xf borderId="0" fillId="0" fontId="12" numFmtId="0" xfId="0" applyAlignment="1" applyFont="1">
      <alignment readingOrder="0"/>
    </xf>
    <xf borderId="13" fillId="0" fontId="1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readingOrder="0"/>
    </xf>
    <xf borderId="11" fillId="3" fontId="6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vertical="center"/>
    </xf>
    <xf borderId="11" fillId="3" fontId="6" numFmtId="0" xfId="0" applyAlignment="1" applyBorder="1" applyFont="1">
      <alignment readingOrder="0"/>
    </xf>
    <xf borderId="0" fillId="0" fontId="1" numFmtId="165" xfId="0" applyFont="1" applyNumberFormat="1"/>
    <xf borderId="11" fillId="3" fontId="6" numFmtId="166" xfId="0" applyAlignment="1" applyBorder="1" applyFont="1" applyNumberFormat="1">
      <alignment readingOrder="0"/>
    </xf>
    <xf borderId="2" fillId="0" fontId="3" numFmtId="166" xfId="0" applyAlignment="1" applyBorder="1" applyFont="1" applyNumberFormat="1">
      <alignment readingOrder="0"/>
    </xf>
    <xf borderId="2" fillId="4" fontId="1" numFmtId="0" xfId="0" applyAlignment="1" applyBorder="1" applyFill="1" applyFont="1">
      <alignment horizontal="center" readingOrder="0"/>
    </xf>
    <xf borderId="2" fillId="4" fontId="13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2" fillId="4" fontId="13" numFmtId="166" xfId="0" applyAlignment="1" applyBorder="1" applyFont="1" applyNumberFormat="1">
      <alignment readingOrder="0"/>
    </xf>
    <xf borderId="15" fillId="0" fontId="14" numFmtId="166" xfId="0" applyAlignment="1" applyBorder="1" applyFont="1" applyNumberFormat="1">
      <alignment readingOrder="0"/>
    </xf>
    <xf borderId="16" fillId="0" fontId="4" numFmtId="0" xfId="0" applyBorder="1" applyFont="1"/>
    <xf borderId="2" fillId="0" fontId="1" numFmtId="166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readingOrder="0"/>
    </xf>
    <xf borderId="2" fillId="0" fontId="1" numFmtId="167" xfId="0" applyBorder="1" applyFont="1" applyNumberFormat="1"/>
    <xf borderId="2" fillId="0" fontId="16" numFmtId="0" xfId="0" applyAlignment="1" applyBorder="1" applyFont="1">
      <alignment readingOrder="0"/>
    </xf>
    <xf borderId="17" fillId="0" fontId="11" numFmtId="0" xfId="0" applyAlignment="1" applyBorder="1" applyFont="1">
      <alignment horizontal="center" readingOrder="0"/>
    </xf>
    <xf borderId="2" fillId="0" fontId="15" numFmtId="166" xfId="0" applyAlignment="1" applyBorder="1" applyFont="1" applyNumberFormat="1">
      <alignment readingOrder="0"/>
    </xf>
    <xf borderId="18" fillId="0" fontId="4" numFmtId="0" xfId="0" applyBorder="1" applyFont="1"/>
    <xf borderId="2" fillId="5" fontId="1" numFmtId="0" xfId="0" applyAlignment="1" applyBorder="1" applyFill="1" applyFont="1">
      <alignment readingOrder="0"/>
    </xf>
    <xf borderId="2" fillId="5" fontId="1" numFmtId="166" xfId="0" applyAlignment="1" applyBorder="1" applyFont="1" applyNumberFormat="1">
      <alignment horizontal="center" vertical="center"/>
    </xf>
    <xf borderId="9" fillId="0" fontId="2" numFmtId="166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 vertical="center"/>
    </xf>
    <xf borderId="2" fillId="6" fontId="1" numFmtId="0" xfId="0" applyAlignment="1" applyBorder="1" applyFill="1" applyFont="1">
      <alignment readingOrder="0"/>
    </xf>
    <xf borderId="19" fillId="0" fontId="8" numFmtId="0" xfId="0" applyAlignment="1" applyBorder="1" applyFont="1">
      <alignment shrinkToFit="0" wrapText="1"/>
    </xf>
    <xf borderId="2" fillId="6" fontId="1" numFmtId="166" xfId="0" applyBorder="1" applyFont="1" applyNumberFormat="1"/>
    <xf borderId="20" fillId="0" fontId="4" numFmtId="0" xfId="0" applyBorder="1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top" wrapText="1"/>
    </xf>
    <xf borderId="2" fillId="7" fontId="3" numFmtId="0" xfId="0" applyAlignment="1" applyBorder="1" applyFill="1" applyFont="1">
      <alignment readingOrder="0"/>
    </xf>
    <xf borderId="2" fillId="7" fontId="3" numFmtId="166" xfId="0" applyAlignment="1" applyBorder="1" applyFont="1" applyNumberFormat="1">
      <alignment readingOrder="0"/>
    </xf>
    <xf borderId="2" fillId="0" fontId="3" numFmtId="0" xfId="0" applyAlignment="1" applyBorder="1" applyFont="1">
      <alignment horizontal="center" readingOrder="0"/>
    </xf>
    <xf borderId="15" fillId="0" fontId="17" numFmtId="166" xfId="0" applyAlignment="1" applyBorder="1" applyFont="1" applyNumberFormat="1">
      <alignment readingOrder="0"/>
    </xf>
    <xf borderId="2" fillId="7" fontId="18" numFmtId="166" xfId="0" applyAlignment="1" applyBorder="1" applyFont="1" applyNumberFormat="1">
      <alignment readingOrder="0"/>
    </xf>
    <xf borderId="0" fillId="0" fontId="5" numFmtId="166" xfId="0" applyFont="1" applyNumberFormat="1"/>
    <xf borderId="2" fillId="0" fontId="3" numFmtId="14" xfId="0" applyAlignment="1" applyBorder="1" applyFont="1" applyNumberFormat="1">
      <alignment readingOrder="0"/>
    </xf>
    <xf borderId="2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right" readingOrder="0"/>
    </xf>
    <xf borderId="2" fillId="8" fontId="19" numFmtId="166" xfId="0" applyBorder="1" applyFill="1" applyFont="1" applyNumberFormat="1"/>
    <xf borderId="2" fillId="0" fontId="3" numFmtId="0" xfId="0" applyAlignment="1" applyBorder="1" applyFont="1">
      <alignment horizontal="center"/>
    </xf>
    <xf borderId="0" fillId="0" fontId="20" numFmtId="166" xfId="0" applyAlignment="1" applyFont="1" applyNumberFormat="1">
      <alignment readingOrder="0"/>
    </xf>
    <xf borderId="2" fillId="9" fontId="6" numFmtId="0" xfId="0" applyAlignment="1" applyBorder="1" applyFill="1" applyFont="1">
      <alignment readingOrder="0"/>
    </xf>
    <xf borderId="8" fillId="0" fontId="3" numFmtId="0" xfId="0" applyAlignment="1" applyBorder="1" applyFont="1">
      <alignment readingOrder="0"/>
    </xf>
    <xf borderId="6" fillId="0" fontId="21" numFmtId="0" xfId="0" applyAlignment="1" applyBorder="1" applyFont="1">
      <alignment horizontal="center" readingOrder="0"/>
    </xf>
    <xf borderId="2" fillId="9" fontId="6" numFmtId="166" xfId="0" applyAlignment="1" applyBorder="1" applyFont="1" applyNumberFormat="1">
      <alignment readingOrder="0"/>
    </xf>
    <xf borderId="8" fillId="0" fontId="3" numFmtId="166" xfId="0" applyAlignment="1" applyBorder="1" applyFont="1" applyNumberFormat="1">
      <alignment readingOrder="0"/>
    </xf>
    <xf borderId="15" fillId="0" fontId="22" numFmtId="166" xfId="0" applyAlignment="1" applyBorder="1" applyFont="1" applyNumberFormat="1">
      <alignment readingOrder="0"/>
    </xf>
    <xf borderId="6" fillId="7" fontId="11" numFmtId="0" xfId="0" applyAlignment="1" applyBorder="1" applyFont="1">
      <alignment horizontal="center" readingOrder="0"/>
    </xf>
    <xf borderId="15" fillId="7" fontId="17" numFmtId="166" xfId="0" applyAlignment="1" applyBorder="1" applyFont="1" applyNumberFormat="1">
      <alignment readingOrder="0"/>
    </xf>
    <xf borderId="21" fillId="0" fontId="3" numFmtId="0" xfId="0" applyBorder="1" applyFont="1"/>
    <xf borderId="21" fillId="0" fontId="3" numFmtId="166" xfId="0" applyBorder="1" applyFont="1" applyNumberFormat="1"/>
    <xf borderId="6" fillId="5" fontId="11" numFmtId="0" xfId="0" applyAlignment="1" applyBorder="1" applyFont="1">
      <alignment horizontal="center" readingOrder="0"/>
    </xf>
    <xf borderId="2" fillId="2" fontId="6" numFmtId="0" xfId="0" applyAlignment="1" applyBorder="1" applyFont="1">
      <alignment readingOrder="0" vertical="center"/>
    </xf>
    <xf borderId="2" fillId="2" fontId="6" numFmtId="166" xfId="0" applyAlignment="1" applyBorder="1" applyFont="1" applyNumberFormat="1">
      <alignment readingOrder="0" vertical="center"/>
    </xf>
    <xf borderId="22" fillId="0" fontId="3" numFmtId="164" xfId="0" applyBorder="1" applyFont="1" applyNumberFormat="1"/>
    <xf borderId="22" fillId="0" fontId="1" numFmtId="0" xfId="0" applyAlignment="1" applyBorder="1" applyFont="1">
      <alignment horizontal="center" vertical="center"/>
    </xf>
    <xf borderId="0" fillId="0" fontId="3" numFmtId="0" xfId="0" applyAlignment="1" applyFont="1">
      <alignment readingOrder="0" shrinkToFit="0" wrapText="1"/>
    </xf>
    <xf borderId="2" fillId="10" fontId="3" numFmtId="0" xfId="0" applyAlignment="1" applyBorder="1" applyFill="1" applyFont="1">
      <alignment readingOrder="0"/>
    </xf>
    <xf borderId="22" fillId="0" fontId="3" numFmtId="0" xfId="0" applyBorder="1" applyFont="1"/>
    <xf borderId="2" fillId="10" fontId="3" numFmtId="166" xfId="0" applyBorder="1" applyFont="1" applyNumberFormat="1"/>
    <xf borderId="2" fillId="10" fontId="3" numFmtId="166" xfId="0" applyAlignment="1" applyBorder="1" applyFont="1" applyNumberFormat="1">
      <alignment readingOrder="0"/>
    </xf>
    <xf borderId="15" fillId="5" fontId="17" numFmtId="166" xfId="0" applyAlignment="1" applyBorder="1" applyFont="1" applyNumberFormat="1">
      <alignment readingOrder="0"/>
    </xf>
    <xf borderId="6" fillId="0" fontId="15" numFmtId="0" xfId="0" applyAlignment="1" applyBorder="1" applyFont="1">
      <alignment horizontal="center" readingOrder="0"/>
    </xf>
    <xf borderId="23" fillId="0" fontId="15" numFmtId="0" xfId="0" applyAlignment="1" applyBorder="1" applyFont="1">
      <alignment readingOrder="0"/>
    </xf>
    <xf borderId="24" fillId="0" fontId="16" numFmtId="166" xfId="0" applyBorder="1" applyFont="1" applyNumberFormat="1"/>
    <xf borderId="0" fillId="0" fontId="3" numFmtId="0" xfId="0" applyAlignment="1" applyFont="1">
      <alignment readingOrder="0"/>
    </xf>
    <xf borderId="2" fillId="0" fontId="3" numFmtId="166" xfId="0" applyBorder="1" applyFont="1" applyNumberFormat="1"/>
    <xf borderId="24" fillId="0" fontId="16" numFmtId="166" xfId="0" applyAlignment="1" applyBorder="1" applyFont="1" applyNumberFormat="1">
      <alignment readingOrder="0"/>
    </xf>
    <xf borderId="25" fillId="0" fontId="15" numFmtId="0" xfId="0" applyAlignment="1" applyBorder="1" applyFont="1">
      <alignment readingOrder="0"/>
    </xf>
    <xf borderId="2" fillId="5" fontId="3" numFmtId="14" xfId="0" applyAlignment="1" applyBorder="1" applyFont="1" applyNumberFormat="1">
      <alignment readingOrder="0"/>
    </xf>
    <xf borderId="26" fillId="0" fontId="15" numFmtId="0" xfId="0" applyAlignment="1" applyBorder="1" applyFont="1">
      <alignment readingOrder="0"/>
    </xf>
    <xf borderId="27" fillId="0" fontId="16" numFmtId="166" xfId="0" applyBorder="1" applyFont="1" applyNumberFormat="1"/>
    <xf borderId="10" fillId="11" fontId="1" numFmtId="0" xfId="0" applyAlignment="1" applyBorder="1" applyFill="1" applyFont="1">
      <alignment readingOrder="0"/>
    </xf>
    <xf borderId="10" fillId="11" fontId="3" numFmtId="166" xfId="0" applyBorder="1" applyFont="1" applyNumberFormat="1"/>
    <xf borderId="0" fillId="0" fontId="3" numFmtId="0" xfId="0" applyAlignment="1" applyFont="1">
      <alignment horizontal="center"/>
    </xf>
    <xf borderId="13" fillId="0" fontId="3" numFmtId="0" xfId="0" applyAlignment="1" applyBorder="1" applyFont="1">
      <alignment readingOrder="0"/>
    </xf>
    <xf borderId="13" fillId="0" fontId="3" numFmtId="166" xfId="0" applyAlignment="1" applyBorder="1" applyFont="1" applyNumberFormat="1">
      <alignment readingOrder="0"/>
    </xf>
    <xf borderId="13" fillId="0" fontId="3" numFmtId="14" xfId="0" applyAlignment="1" applyBorder="1" applyFont="1" applyNumberFormat="1">
      <alignment readingOrder="0"/>
    </xf>
    <xf borderId="13" fillId="0" fontId="23" numFmtId="0" xfId="0" applyAlignment="1" applyBorder="1" applyFont="1">
      <alignment readingOrder="0"/>
    </xf>
    <xf borderId="13" fillId="0" fontId="23" numFmtId="166" xfId="0" applyAlignment="1" applyBorder="1" applyFont="1" applyNumberFormat="1">
      <alignment readingOrder="0"/>
    </xf>
    <xf borderId="13" fillId="0" fontId="24" numFmtId="0" xfId="0" applyAlignment="1" applyBorder="1" applyFont="1">
      <alignment readingOrder="0"/>
    </xf>
    <xf borderId="13" fillId="0" fontId="24" numFmtId="166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13" fillId="0" fontId="3" numFmtId="166" xfId="0" applyBorder="1" applyFont="1" applyNumberFormat="1"/>
    <xf borderId="0" fillId="0" fontId="3" numFmtId="164" xfId="0" applyFont="1" applyNumberForma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  <xf borderId="0" fillId="5" fontId="3" numFmtId="49" xfId="0" applyAlignment="1" applyFont="1" applyNumberFormat="1">
      <alignment readingOrder="0"/>
    </xf>
    <xf borderId="0" fillId="5" fontId="3" numFmtId="14" xfId="0" applyAlignment="1" applyFont="1" applyNumberFormat="1">
      <alignment readingOrder="0"/>
    </xf>
    <xf borderId="0" fillId="5" fontId="3" numFmtId="166" xfId="0" applyAlignment="1" applyFont="1" applyNumberFormat="1">
      <alignment readingOrder="0"/>
    </xf>
    <xf borderId="0" fillId="12" fontId="3" numFmtId="49" xfId="0" applyAlignment="1" applyFill="1" applyFont="1" applyNumberFormat="1">
      <alignment readingOrder="0"/>
    </xf>
    <xf borderId="0" fillId="12" fontId="3" numFmtId="14" xfId="0" applyAlignment="1" applyFont="1" applyNumberFormat="1">
      <alignment readingOrder="0"/>
    </xf>
    <xf borderId="0" fillId="12" fontId="3" numFmtId="166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12" fontId="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3" numFmtId="49" xfId="0" applyFont="1" applyNumberFormat="1"/>
    <xf borderId="17" fillId="5" fontId="1" numFmtId="0" xfId="0" applyAlignment="1" applyBorder="1" applyFont="1">
      <alignment readingOrder="0"/>
    </xf>
    <xf borderId="28" fillId="0" fontId="4" numFmtId="0" xfId="0" applyBorder="1" applyFont="1"/>
    <xf borderId="18" fillId="5" fontId="1" numFmtId="168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3" fillId="0" fontId="1" numFmtId="165" xfId="0" applyAlignment="1" applyBorder="1" applyFont="1" applyNumberFormat="1">
      <alignment readingOrder="0"/>
    </xf>
    <xf borderId="13" fillId="0" fontId="25" numFmtId="165" xfId="0" applyAlignment="1" applyBorder="1" applyFont="1" applyNumberFormat="1">
      <alignment readingOrder="0"/>
    </xf>
    <xf borderId="13" fillId="0" fontId="3" numFmtId="165" xfId="0" applyAlignment="1" applyBorder="1" applyFont="1" applyNumberFormat="1">
      <alignment readingOrder="0"/>
    </xf>
    <xf borderId="13" fillId="13" fontId="3" numFmtId="0" xfId="0" applyAlignment="1" applyBorder="1" applyFill="1" applyFont="1">
      <alignment readingOrder="0"/>
    </xf>
    <xf borderId="17" fillId="14" fontId="26" numFmtId="0" xfId="0" applyAlignment="1" applyBorder="1" applyFill="1" applyFont="1">
      <alignment horizontal="center" readingOrder="0"/>
    </xf>
    <xf borderId="28" fillId="14" fontId="27" numFmtId="165" xfId="0" applyAlignment="1" applyBorder="1" applyFont="1" applyNumberFormat="1">
      <alignment horizontal="center" readingOrder="0"/>
    </xf>
    <xf borderId="0" fillId="0" fontId="28" numFmtId="0" xfId="0" applyAlignment="1" applyFont="1">
      <alignment readingOrder="0" shrinkToFit="0" vertical="top" wrapText="1"/>
    </xf>
    <xf borderId="0" fillId="0" fontId="8" numFmtId="0" xfId="0" applyAlignment="1" applyFont="1">
      <alignment horizontal="center" readingOrder="0"/>
    </xf>
    <xf borderId="17" fillId="15" fontId="1" numFmtId="0" xfId="0" applyAlignment="1" applyBorder="1" applyFill="1" applyFont="1">
      <alignment readingOrder="0"/>
    </xf>
    <xf borderId="18" fillId="15" fontId="1" numFmtId="165" xfId="0" applyAlignment="1" applyBorder="1" applyFont="1" applyNumberFormat="1">
      <alignment readingOrder="0"/>
    </xf>
    <xf borderId="18" fillId="5" fontId="1" numFmtId="165" xfId="0" applyAlignment="1" applyBorder="1" applyFont="1" applyNumberFormat="1">
      <alignment readingOrder="0"/>
    </xf>
    <xf quotePrefix="1" borderId="0" fillId="0" fontId="2" numFmtId="0" xfId="0" applyAlignment="1" applyFont="1">
      <alignment horizontal="center" readingOrder="0"/>
    </xf>
    <xf borderId="29" fillId="9" fontId="6" numFmtId="0" xfId="0" applyAlignment="1" applyBorder="1" applyFont="1">
      <alignment readingOrder="0"/>
    </xf>
    <xf borderId="30" fillId="0" fontId="4" numFmtId="0" xfId="0" applyBorder="1" applyFont="1"/>
    <xf borderId="31" fillId="9" fontId="6" numFmtId="165" xfId="0" applyBorder="1" applyFont="1" applyNumberFormat="1"/>
    <xf borderId="9" fillId="0" fontId="28" numFmtId="0" xfId="0" applyAlignment="1" applyBorder="1" applyFont="1">
      <alignment readingOrder="0" shrinkToFit="0" vertical="top" wrapText="1"/>
    </xf>
    <xf borderId="32" fillId="0" fontId="4" numFmtId="0" xfId="0" applyBorder="1" applyFont="1"/>
    <xf borderId="33" fillId="0" fontId="4" numFmtId="0" xfId="0" applyBorder="1" applyFont="1"/>
    <xf borderId="34" fillId="2" fontId="6" numFmtId="0" xfId="0" applyAlignment="1" applyBorder="1" applyFont="1">
      <alignment readingOrder="0"/>
    </xf>
    <xf borderId="35" fillId="2" fontId="6" numFmtId="165" xfId="0" applyBorder="1" applyFont="1" applyNumberFormat="1"/>
    <xf borderId="17" fillId="16" fontId="26" numFmtId="0" xfId="0" applyAlignment="1" applyBorder="1" applyFill="1" applyFont="1">
      <alignment horizontal="center" readingOrder="0"/>
    </xf>
    <xf borderId="34" fillId="10" fontId="29" numFmtId="0" xfId="0" applyAlignment="1" applyBorder="1" applyFont="1">
      <alignment readingOrder="0"/>
    </xf>
    <xf borderId="4" fillId="9" fontId="6" numFmtId="0" xfId="0" applyAlignment="1" applyBorder="1" applyFont="1">
      <alignment readingOrder="0"/>
    </xf>
    <xf borderId="35" fillId="10" fontId="29" numFmtId="165" xfId="0" applyBorder="1" applyFont="1" applyNumberFormat="1"/>
    <xf borderId="36" fillId="0" fontId="28" numFmtId="0" xfId="0" applyAlignment="1" applyBorder="1" applyFont="1">
      <alignment readingOrder="0" shrinkToFit="0" vertical="top" wrapText="1"/>
    </xf>
    <xf borderId="37" fillId="0" fontId="4" numFmtId="0" xfId="0" applyBorder="1" applyFont="1"/>
    <xf borderId="2" fillId="9" fontId="6" numFmtId="165" xfId="0" applyBorder="1" applyFont="1" applyNumberFormat="1"/>
    <xf borderId="0" fillId="17" fontId="1" numFmtId="0" xfId="0" applyAlignment="1" applyFill="1" applyFont="1">
      <alignment readingOrder="0"/>
    </xf>
    <xf borderId="0" fillId="17" fontId="1" numFmtId="165" xfId="0" applyAlignment="1" applyFont="1" applyNumberFormat="1">
      <alignment horizontal="center" readingOrder="0"/>
    </xf>
    <xf quotePrefix="1" borderId="36" fillId="0" fontId="2" numFmtId="0" xfId="0" applyAlignment="1" applyBorder="1" applyFont="1">
      <alignment horizontal="center" readingOrder="0"/>
    </xf>
    <xf borderId="2" fillId="0" fontId="3" numFmtId="165" xfId="0" applyAlignment="1" applyBorder="1" applyFont="1" applyNumberFormat="1">
      <alignment horizontal="center" readingOrder="0"/>
    </xf>
    <xf borderId="10" fillId="0" fontId="3" numFmtId="0" xfId="0" applyAlignment="1" applyBorder="1" applyFont="1">
      <alignment readingOrder="0" shrinkToFit="0" vertical="top" wrapText="1"/>
    </xf>
    <xf borderId="10" fillId="0" fontId="3" numFmtId="165" xfId="0" applyAlignment="1" applyBorder="1" applyFont="1" applyNumberFormat="1">
      <alignment readingOrder="0"/>
    </xf>
    <xf borderId="34" fillId="18" fontId="6" numFmtId="0" xfId="0" applyAlignment="1" applyBorder="1" applyFill="1" applyFont="1">
      <alignment readingOrder="0"/>
    </xf>
    <xf borderId="10" fillId="0" fontId="24" numFmtId="165" xfId="0" applyAlignment="1" applyBorder="1" applyFont="1" applyNumberFormat="1">
      <alignment readingOrder="0"/>
    </xf>
    <xf borderId="35" fillId="18" fontId="6" numFmtId="165" xfId="0" applyBorder="1" applyFont="1" applyNumberFormat="1"/>
    <xf borderId="13" fillId="0" fontId="3" numFmtId="0" xfId="0" applyAlignment="1" applyBorder="1" applyFont="1">
      <alignment readingOrder="0" shrinkToFit="0" vertical="top" wrapText="1"/>
    </xf>
    <xf borderId="13" fillId="0" fontId="24" numFmtId="165" xfId="0" applyAlignment="1" applyBorder="1" applyFont="1" applyNumberFormat="1">
      <alignment readingOrder="0"/>
    </xf>
    <xf borderId="34" fillId="19" fontId="30" numFmtId="0" xfId="0" applyAlignment="1" applyBorder="1" applyFill="1" applyFont="1">
      <alignment readingOrder="0"/>
    </xf>
    <xf borderId="35" fillId="19" fontId="30" numFmtId="165" xfId="0" applyBorder="1" applyFont="1" applyNumberFormat="1"/>
    <xf borderId="36" fillId="0" fontId="1" numFmtId="0" xfId="0" applyAlignment="1" applyBorder="1" applyFont="1">
      <alignment readingOrder="0"/>
    </xf>
    <xf borderId="37" fillId="0" fontId="1" numFmtId="165" xfId="0" applyAlignment="1" applyBorder="1" applyFont="1" applyNumberFormat="1">
      <alignment readingOrder="0"/>
    </xf>
    <xf borderId="9" fillId="20" fontId="1" numFmtId="0" xfId="0" applyAlignment="1" applyBorder="1" applyFill="1" applyFont="1">
      <alignment readingOrder="0"/>
    </xf>
    <xf borderId="13" fillId="0" fontId="24" numFmtId="165" xfId="0" applyBorder="1" applyFont="1" applyNumberFormat="1"/>
    <xf borderId="12" fillId="20" fontId="1" numFmtId="165" xfId="0" applyBorder="1" applyFont="1" applyNumberFormat="1"/>
    <xf borderId="13" fillId="0" fontId="3" numFmtId="0" xfId="0" applyAlignment="1" applyBorder="1" applyFont="1">
      <alignment shrinkToFit="0" vertical="top" wrapText="1"/>
    </xf>
    <xf borderId="17" fillId="21" fontId="26" numFmtId="0" xfId="0" applyAlignment="1" applyBorder="1" applyFill="1" applyFont="1">
      <alignment horizontal="center" readingOrder="0"/>
    </xf>
    <xf borderId="13" fillId="0" fontId="3" numFmtId="165" xfId="0" applyBorder="1" applyFont="1" applyNumberFormat="1"/>
    <xf borderId="38" fillId="10" fontId="29" numFmtId="0" xfId="0" applyAlignment="1" applyBorder="1" applyFont="1">
      <alignment readingOrder="0"/>
    </xf>
    <xf borderId="39" fillId="0" fontId="4" numFmtId="0" xfId="0" applyBorder="1" applyFont="1"/>
    <xf borderId="10" fillId="0" fontId="3" numFmtId="165" xfId="0" applyBorder="1" applyFont="1" applyNumberFormat="1"/>
    <xf borderId="11" fillId="10" fontId="29" numFmtId="165" xfId="0" applyBorder="1" applyFont="1" applyNumberFormat="1"/>
    <xf borderId="1" fillId="0" fontId="3" numFmtId="0" xfId="0" applyAlignment="1" applyBorder="1" applyFont="1">
      <alignment readingOrder="0"/>
    </xf>
    <xf borderId="4" fillId="10" fontId="29" numFmtId="0" xfId="0" applyAlignment="1" applyBorder="1" applyFont="1">
      <alignment readingOrder="0"/>
    </xf>
    <xf borderId="2" fillId="10" fontId="29" numFmtId="165" xfId="0" applyBorder="1" applyFont="1" applyNumberFormat="1"/>
    <xf borderId="17" fillId="18" fontId="26" numFmtId="0" xfId="0" applyAlignment="1" applyBorder="1" applyFont="1">
      <alignment horizontal="center" readingOrder="0"/>
    </xf>
    <xf borderId="4" fillId="22" fontId="6" numFmtId="0" xfId="0" applyAlignment="1" applyBorder="1" applyFill="1" applyFont="1">
      <alignment readingOrder="0"/>
    </xf>
    <xf borderId="2" fillId="22" fontId="6" numFmtId="165" xfId="0" applyBorder="1" applyFont="1" applyNumberFormat="1"/>
    <xf borderId="40" fillId="0" fontId="3" numFmtId="0" xfId="0" applyAlignment="1" applyBorder="1" applyFont="1">
      <alignment readingOrder="0"/>
    </xf>
    <xf borderId="41" fillId="0" fontId="3" numFmtId="165" xfId="0" applyAlignment="1" applyBorder="1" applyFont="1" applyNumberFormat="1">
      <alignment readingOrder="0"/>
    </xf>
    <xf borderId="42" fillId="0" fontId="3" numFmtId="165" xfId="0" applyAlignment="1" applyBorder="1" applyFont="1" applyNumberFormat="1">
      <alignment readingOrder="0"/>
    </xf>
    <xf borderId="10" fillId="0" fontId="3" numFmtId="14" xfId="0" applyAlignment="1" applyBorder="1" applyFont="1" applyNumberFormat="1">
      <alignment readingOrder="0"/>
    </xf>
    <xf borderId="13" fillId="0" fontId="24" numFmtId="0" xfId="0" applyBorder="1" applyFont="1"/>
    <xf borderId="10" fillId="0" fontId="24" numFmtId="165" xfId="0" applyBorder="1" applyFont="1" applyNumberFormat="1"/>
    <xf borderId="0" fillId="0" fontId="24" numFmtId="165" xfId="0" applyFont="1" applyNumberFormat="1"/>
  </cellXfs>
  <cellStyles count="1">
    <cellStyle xfId="0" name="Normal" builtinId="0"/>
  </cellStyles>
  <dxfs count="15"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C53929"/>
          <bgColor rgb="FFC53929"/>
        </patternFill>
      </fill>
      <border/>
    </dxf>
    <dxf>
      <font>
        <b/>
        <color rgb="FF38761D"/>
      </font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C53929"/>
          <bgColor rgb="FFC53929"/>
        </patternFill>
      </fill>
      <border/>
    </dxf>
    <dxf>
      <font>
        <b/>
        <color rgb="FF000000"/>
      </font>
      <fill>
        <patternFill patternType="solid">
          <fgColor rgb="FFC53929"/>
          <bgColor rgb="FFC53929"/>
        </patternFill>
      </fill>
      <border/>
    </dxf>
    <dxf>
      <font>
        <color rgb="FFFFFFFF"/>
      </font>
      <fill>
        <patternFill patternType="none"/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2" t="s">
        <v>0</v>
      </c>
      <c r="B1" s="4"/>
      <c r="C1" s="6"/>
    </row>
    <row r="2">
      <c r="A2" s="1"/>
      <c r="B2" s="1"/>
      <c r="C2" s="6"/>
    </row>
    <row r="3">
      <c r="A3" s="15" t="s">
        <v>3</v>
      </c>
      <c r="B3" s="16"/>
      <c r="C3" s="6"/>
    </row>
    <row r="4">
      <c r="A4" s="22">
        <f>(B74-B76-A20)</f>
        <v>64.63074581</v>
      </c>
      <c r="B4" s="26"/>
      <c r="C4" s="28"/>
    </row>
    <row r="5">
      <c r="B5" s="29"/>
      <c r="C5" s="6"/>
    </row>
    <row r="6">
      <c r="B6" s="29"/>
      <c r="C6" s="6"/>
    </row>
    <row r="7">
      <c r="A7" s="32" t="s">
        <v>15</v>
      </c>
      <c r="B7" s="16"/>
      <c r="C7" s="6"/>
    </row>
    <row r="8">
      <c r="A8" s="22">
        <f>B72+B73-B77</f>
        <v>694</v>
      </c>
      <c r="B8" s="26"/>
      <c r="C8" s="6"/>
    </row>
    <row r="9">
      <c r="A9" s="35"/>
      <c r="B9" s="29"/>
      <c r="C9" s="6"/>
    </row>
    <row r="10">
      <c r="A10" s="35"/>
      <c r="B10" s="29"/>
      <c r="C10" s="6"/>
    </row>
    <row r="11">
      <c r="A11" s="15" t="s">
        <v>19</v>
      </c>
      <c r="B11" s="16"/>
      <c r="C11" s="6"/>
    </row>
    <row r="12">
      <c r="A12" s="22">
        <f>A51</f>
        <v>100</v>
      </c>
      <c r="B12" s="26"/>
      <c r="C12" s="6"/>
    </row>
    <row r="13">
      <c r="B13" s="29"/>
      <c r="C13" s="6"/>
    </row>
    <row r="14">
      <c r="B14" s="29"/>
      <c r="C14" s="6"/>
    </row>
    <row r="15">
      <c r="A15" s="15" t="s">
        <v>24</v>
      </c>
      <c r="B15" s="16"/>
      <c r="C15" s="6"/>
    </row>
    <row r="16">
      <c r="A16" s="22">
        <f>IntesaCC!C20</f>
        <v>179</v>
      </c>
      <c r="B16" s="26"/>
      <c r="C16" s="6"/>
    </row>
    <row r="17">
      <c r="B17" s="29"/>
      <c r="C17" s="6"/>
    </row>
    <row r="18">
      <c r="B18" s="29"/>
      <c r="C18" s="6"/>
    </row>
    <row r="19">
      <c r="A19" s="48" t="s">
        <v>27</v>
      </c>
      <c r="B19" s="16"/>
      <c r="C19" s="6"/>
    </row>
    <row r="20">
      <c r="A20" s="50">
        <f>10000</f>
        <v>10000</v>
      </c>
      <c r="B20" s="51"/>
      <c r="C20" s="6"/>
    </row>
    <row r="21">
      <c r="B21" s="29"/>
      <c r="C21" s="6"/>
    </row>
    <row r="22">
      <c r="A22" s="56" t="s">
        <v>32</v>
      </c>
      <c r="B22" s="58"/>
      <c r="C22" s="6"/>
    </row>
    <row r="23">
      <c r="A23" s="61">
        <f>A4+A8+A12+A16</f>
        <v>1037.630746</v>
      </c>
      <c r="B23" s="26"/>
      <c r="C23" s="6"/>
    </row>
    <row r="24">
      <c r="B24" s="29"/>
      <c r="C24" s="6"/>
    </row>
    <row r="25">
      <c r="A25" s="64" t="str">
        <f>IF(B75&gt;B76,"ATTENZIONE: ALCUNE SPESE PROGRAMMATE SONO STATE RIMANDATE FINO AL PROSSIMO ACCREDITO","")</f>
        <v/>
      </c>
      <c r="B25" s="66"/>
      <c r="C25" s="6"/>
      <c r="D25" s="68"/>
    </row>
    <row r="26">
      <c r="B26" s="29"/>
      <c r="C26" s="6"/>
    </row>
    <row r="27">
      <c r="B27" s="29"/>
      <c r="C27" s="6"/>
    </row>
    <row r="28">
      <c r="B28" s="29"/>
      <c r="C28" s="6"/>
    </row>
    <row r="29">
      <c r="B29" s="29"/>
      <c r="C29" s="6"/>
    </row>
    <row r="30">
      <c r="B30" s="29"/>
      <c r="C30" s="6"/>
    </row>
    <row r="31">
      <c r="A31" s="2" t="s">
        <v>39</v>
      </c>
      <c r="B31" s="4"/>
      <c r="C31" s="6"/>
    </row>
    <row r="32">
      <c r="B32" s="29"/>
      <c r="C32" s="6"/>
    </row>
    <row r="33">
      <c r="A33" s="32" t="s">
        <v>42</v>
      </c>
      <c r="B33" s="16"/>
      <c r="C33" s="6"/>
    </row>
    <row r="34">
      <c r="A34" s="72">
        <f>(A45*(-1))+B35</f>
        <v>13041</v>
      </c>
      <c r="B34" s="51"/>
      <c r="C34" s="74">
        <f>A34</f>
        <v>13041</v>
      </c>
    </row>
    <row r="35">
      <c r="A35" s="77" t="s">
        <v>44</v>
      </c>
      <c r="B35" s="80">
        <f>13041</f>
        <v>13041</v>
      </c>
      <c r="C35" s="6"/>
    </row>
    <row r="36">
      <c r="B36" s="29"/>
      <c r="C36" s="6"/>
    </row>
    <row r="37">
      <c r="A37" s="32" t="s">
        <v>45</v>
      </c>
      <c r="B37" s="16"/>
      <c r="C37" s="6"/>
    </row>
    <row r="38">
      <c r="A38" s="72">
        <f>(A45)+B39</f>
        <v>372</v>
      </c>
      <c r="B38" s="51"/>
      <c r="C38" s="74">
        <f>A38</f>
        <v>372</v>
      </c>
    </row>
    <row r="39">
      <c r="A39" s="77" t="s">
        <v>44</v>
      </c>
      <c r="B39" s="80">
        <f>372</f>
        <v>372</v>
      </c>
      <c r="C39" s="6"/>
    </row>
    <row r="40">
      <c r="B40" s="29"/>
      <c r="C40" s="6"/>
    </row>
    <row r="41">
      <c r="A41" s="32" t="s">
        <v>51</v>
      </c>
      <c r="B41" s="16"/>
      <c r="C41" s="6"/>
    </row>
    <row r="42">
      <c r="A42" s="72">
        <f>532</f>
        <v>532</v>
      </c>
      <c r="B42" s="51"/>
      <c r="C42" s="74">
        <f>A42</f>
        <v>532</v>
      </c>
    </row>
    <row r="43">
      <c r="B43" s="29"/>
      <c r="C43" s="6"/>
    </row>
    <row r="44">
      <c r="A44" s="83" t="s">
        <v>55</v>
      </c>
      <c r="B44" s="16"/>
      <c r="C44" s="6"/>
    </row>
    <row r="45">
      <c r="A45" s="86"/>
      <c r="B45" s="51"/>
      <c r="C45" s="6"/>
    </row>
    <row r="46">
      <c r="B46" s="29"/>
      <c r="C46" s="6"/>
    </row>
    <row r="47">
      <c r="A47" s="87" t="s">
        <v>56</v>
      </c>
      <c r="B47" s="16"/>
      <c r="C47" s="6"/>
    </row>
    <row r="48">
      <c r="A48" s="88">
        <f>Contanti!C5</f>
        <v>2000</v>
      </c>
      <c r="B48" s="51"/>
      <c r="C48" s="6"/>
    </row>
    <row r="49">
      <c r="B49" s="29"/>
      <c r="C49" s="6"/>
    </row>
    <row r="50">
      <c r="A50" s="87" t="s">
        <v>57</v>
      </c>
      <c r="B50" s="16"/>
      <c r="C50" s="6"/>
    </row>
    <row r="51">
      <c r="A51" s="88">
        <f>Contanti!C6</f>
        <v>100</v>
      </c>
      <c r="B51" s="51"/>
      <c r="C51" s="6"/>
    </row>
    <row r="52">
      <c r="B52" s="29"/>
      <c r="C52" s="6"/>
    </row>
    <row r="53">
      <c r="A53" s="87" t="s">
        <v>58</v>
      </c>
      <c r="B53" s="16"/>
      <c r="C53" s="6"/>
    </row>
    <row r="54">
      <c r="A54" s="88">
        <f>A48+A51</f>
        <v>2100</v>
      </c>
      <c r="B54" s="51"/>
      <c r="C54" s="6"/>
    </row>
    <row r="55">
      <c r="B55" s="29"/>
      <c r="C55" s="6"/>
    </row>
    <row r="56">
      <c r="A56" s="89"/>
      <c r="B56" s="90"/>
      <c r="C56" s="6"/>
    </row>
    <row r="57">
      <c r="B57" s="29"/>
      <c r="C57" s="6"/>
    </row>
    <row r="58">
      <c r="A58" s="91" t="s">
        <v>60</v>
      </c>
      <c r="B58" s="16"/>
      <c r="C58" s="6"/>
    </row>
    <row r="59">
      <c r="A59" s="88">
        <f>B74+B72+B73+A54</f>
        <v>16045</v>
      </c>
      <c r="B59" s="51"/>
      <c r="C59" s="6"/>
    </row>
    <row r="60">
      <c r="A60" s="96" t="s">
        <v>62</v>
      </c>
      <c r="C60" s="6"/>
    </row>
    <row r="61">
      <c r="B61" s="29"/>
      <c r="C61" s="6"/>
    </row>
    <row r="62">
      <c r="A62" s="87" t="s">
        <v>63</v>
      </c>
      <c r="B62" s="16"/>
      <c r="C62" s="6"/>
    </row>
    <row r="63">
      <c r="A63" s="101">
        <f>A59-(B75+B77)</f>
        <v>12858.63075</v>
      </c>
      <c r="B63" s="51"/>
      <c r="C63" s="6"/>
    </row>
    <row r="64">
      <c r="A64" s="96" t="s">
        <v>65</v>
      </c>
      <c r="C64" s="6"/>
    </row>
    <row r="65">
      <c r="B65" s="29"/>
      <c r="C65" s="6"/>
    </row>
    <row r="66">
      <c r="A66" s="91" t="s">
        <v>67</v>
      </c>
      <c r="B66" s="16"/>
      <c r="C66" s="6"/>
    </row>
    <row r="67">
      <c r="A67" s="101">
        <f>A20+A48+A42</f>
        <v>12532</v>
      </c>
      <c r="B67" s="51"/>
      <c r="C67" s="6"/>
    </row>
    <row r="68">
      <c r="A68" s="96" t="s">
        <v>69</v>
      </c>
      <c r="C68" s="6"/>
    </row>
    <row r="69">
      <c r="B69" s="29"/>
      <c r="C69" s="6"/>
    </row>
    <row r="70">
      <c r="B70" s="29"/>
      <c r="C70" s="6"/>
    </row>
    <row r="71">
      <c r="A71" s="102" t="s">
        <v>70</v>
      </c>
      <c r="B71" s="16"/>
      <c r="C71" s="6"/>
    </row>
    <row r="72">
      <c r="A72" s="103" t="s">
        <v>72</v>
      </c>
      <c r="B72" s="104">
        <f>spese!C3</f>
        <v>372</v>
      </c>
      <c r="C72" s="6"/>
    </row>
    <row r="73">
      <c r="A73" s="103" t="s">
        <v>74</v>
      </c>
      <c r="B73" s="104">
        <f>spese!C4</f>
        <v>532</v>
      </c>
      <c r="C73" s="6"/>
    </row>
    <row r="74">
      <c r="A74" s="103" t="s">
        <v>76</v>
      </c>
      <c r="B74" s="104">
        <f>spese!C2</f>
        <v>13041</v>
      </c>
      <c r="C74" s="6"/>
    </row>
    <row r="75">
      <c r="A75" s="103" t="s">
        <v>78</v>
      </c>
      <c r="B75" s="107">
        <f>(IntesaCC!C4)</f>
        <v>2976.369254</v>
      </c>
      <c r="C75" s="6"/>
    </row>
    <row r="76">
      <c r="A76" s="103" t="s">
        <v>81</v>
      </c>
      <c r="B76" s="107">
        <f>IntesaCC!C8</f>
        <v>2976.369254</v>
      </c>
      <c r="C76" s="6"/>
    </row>
    <row r="77">
      <c r="A77" s="108" t="s">
        <v>82</v>
      </c>
      <c r="B77" s="104">
        <f>FindomesticCC!C8</f>
        <v>210</v>
      </c>
      <c r="C77" s="6"/>
    </row>
    <row r="78">
      <c r="A78" s="110" t="s">
        <v>84</v>
      </c>
      <c r="B78" s="111">
        <f>B74+B72+B73</f>
        <v>13945</v>
      </c>
      <c r="C78" s="6"/>
    </row>
    <row r="79">
      <c r="A79" s="105"/>
      <c r="B79" s="29"/>
      <c r="C79" s="6"/>
    </row>
    <row r="80">
      <c r="B80" s="29"/>
      <c r="C80" s="6"/>
    </row>
    <row r="81">
      <c r="B81" s="29"/>
      <c r="C81" s="6"/>
    </row>
    <row r="82">
      <c r="B82" s="29"/>
      <c r="C82" s="6"/>
    </row>
    <row r="83">
      <c r="B83" s="29"/>
      <c r="C83" s="6"/>
    </row>
    <row r="84">
      <c r="B84" s="29"/>
      <c r="C84" s="6"/>
    </row>
    <row r="85">
      <c r="B85" s="29"/>
      <c r="C85" s="6"/>
    </row>
    <row r="86">
      <c r="B86" s="29"/>
      <c r="C86" s="6"/>
    </row>
    <row r="87">
      <c r="B87" s="29"/>
      <c r="C87" s="6"/>
    </row>
    <row r="88">
      <c r="B88" s="29"/>
      <c r="C88" s="6"/>
    </row>
    <row r="89">
      <c r="B89" s="29"/>
      <c r="C89" s="6"/>
    </row>
    <row r="90">
      <c r="B90" s="29"/>
      <c r="C90" s="6"/>
    </row>
    <row r="91">
      <c r="B91" s="29"/>
      <c r="C91" s="6"/>
    </row>
    <row r="92">
      <c r="B92" s="29"/>
      <c r="C92" s="6"/>
    </row>
    <row r="93">
      <c r="B93" s="29"/>
      <c r="C93" s="6"/>
    </row>
    <row r="94">
      <c r="B94" s="29"/>
      <c r="C94" s="6"/>
    </row>
    <row r="95">
      <c r="B95" s="29"/>
      <c r="C95" s="6"/>
    </row>
    <row r="96">
      <c r="B96" s="29"/>
      <c r="C96" s="6"/>
    </row>
    <row r="97">
      <c r="B97" s="29"/>
      <c r="C97" s="6"/>
    </row>
    <row r="98">
      <c r="B98" s="29"/>
      <c r="C98" s="6"/>
    </row>
    <row r="99">
      <c r="B99" s="29"/>
      <c r="C99" s="6"/>
    </row>
    <row r="100">
      <c r="B100" s="29"/>
      <c r="C100" s="6"/>
    </row>
    <row r="101">
      <c r="B101" s="29"/>
      <c r="C101" s="6"/>
    </row>
    <row r="102">
      <c r="B102" s="29"/>
      <c r="C102" s="6"/>
    </row>
    <row r="103">
      <c r="B103" s="29"/>
      <c r="C103" s="6"/>
    </row>
    <row r="104">
      <c r="B104" s="29"/>
      <c r="C104" s="6"/>
    </row>
    <row r="105">
      <c r="B105" s="29"/>
      <c r="C105" s="6"/>
    </row>
    <row r="106">
      <c r="B106" s="29"/>
      <c r="C106" s="6"/>
    </row>
    <row r="107">
      <c r="B107" s="29"/>
      <c r="C107" s="6"/>
    </row>
    <row r="108">
      <c r="B108" s="29"/>
      <c r="C108" s="6"/>
    </row>
    <row r="109">
      <c r="B109" s="29"/>
      <c r="C109" s="6"/>
    </row>
    <row r="110">
      <c r="B110" s="29"/>
      <c r="C110" s="6"/>
    </row>
    <row r="111">
      <c r="B111" s="29"/>
      <c r="C111" s="6"/>
    </row>
    <row r="112">
      <c r="B112" s="29"/>
      <c r="C112" s="6"/>
    </row>
    <row r="113">
      <c r="B113" s="29"/>
      <c r="C113" s="6"/>
    </row>
    <row r="114">
      <c r="B114" s="29"/>
      <c r="C114" s="6"/>
    </row>
    <row r="115">
      <c r="B115" s="29"/>
      <c r="C115" s="6"/>
    </row>
    <row r="116">
      <c r="B116" s="29"/>
      <c r="C116" s="6"/>
    </row>
    <row r="117">
      <c r="B117" s="29"/>
      <c r="C117" s="6"/>
    </row>
    <row r="118">
      <c r="B118" s="29"/>
      <c r="C118" s="6"/>
    </row>
    <row r="119">
      <c r="B119" s="29"/>
      <c r="C119" s="6"/>
    </row>
    <row r="120">
      <c r="B120" s="29"/>
      <c r="C120" s="6"/>
    </row>
    <row r="121">
      <c r="B121" s="29"/>
      <c r="C121" s="6"/>
    </row>
    <row r="122">
      <c r="B122" s="29"/>
      <c r="C122" s="6"/>
    </row>
    <row r="123">
      <c r="B123" s="29"/>
      <c r="C123" s="6"/>
    </row>
    <row r="124">
      <c r="B124" s="29"/>
      <c r="C124" s="6"/>
    </row>
    <row r="125">
      <c r="B125" s="29"/>
      <c r="C125" s="6"/>
    </row>
    <row r="126">
      <c r="B126" s="29"/>
      <c r="C126" s="6"/>
    </row>
    <row r="127">
      <c r="B127" s="29"/>
      <c r="C127" s="6"/>
    </row>
    <row r="128">
      <c r="B128" s="29"/>
      <c r="C128" s="6"/>
    </row>
    <row r="129">
      <c r="B129" s="29"/>
      <c r="C129" s="6"/>
    </row>
    <row r="130">
      <c r="B130" s="29"/>
      <c r="C130" s="6"/>
    </row>
    <row r="131">
      <c r="B131" s="29"/>
      <c r="C131" s="6"/>
    </row>
    <row r="132">
      <c r="B132" s="29"/>
      <c r="C132" s="6"/>
    </row>
    <row r="133">
      <c r="B133" s="29"/>
      <c r="C133" s="6"/>
    </row>
    <row r="134">
      <c r="B134" s="29"/>
      <c r="C134" s="6"/>
    </row>
    <row r="135">
      <c r="B135" s="29"/>
      <c r="C135" s="6"/>
    </row>
    <row r="136">
      <c r="B136" s="29"/>
      <c r="C136" s="6"/>
    </row>
    <row r="137">
      <c r="B137" s="29"/>
      <c r="C137" s="6"/>
    </row>
    <row r="138">
      <c r="B138" s="29"/>
      <c r="C138" s="6"/>
    </row>
    <row r="139">
      <c r="B139" s="29"/>
      <c r="C139" s="6"/>
    </row>
    <row r="140">
      <c r="B140" s="29"/>
      <c r="C140" s="6"/>
    </row>
    <row r="141">
      <c r="B141" s="29"/>
      <c r="C141" s="6"/>
    </row>
    <row r="142">
      <c r="B142" s="29"/>
      <c r="C142" s="6"/>
    </row>
    <row r="143">
      <c r="B143" s="29"/>
      <c r="C143" s="6"/>
    </row>
    <row r="144">
      <c r="B144" s="29"/>
      <c r="C144" s="6"/>
    </row>
    <row r="145">
      <c r="B145" s="29"/>
      <c r="C145" s="6"/>
    </row>
    <row r="146">
      <c r="B146" s="29"/>
      <c r="C146" s="6"/>
    </row>
    <row r="147">
      <c r="B147" s="29"/>
      <c r="C147" s="6"/>
    </row>
    <row r="148">
      <c r="B148" s="29"/>
      <c r="C148" s="6"/>
    </row>
    <row r="149">
      <c r="B149" s="29"/>
      <c r="C149" s="6"/>
    </row>
    <row r="150">
      <c r="B150" s="29"/>
      <c r="C150" s="6"/>
    </row>
    <row r="151">
      <c r="B151" s="29"/>
      <c r="C151" s="6"/>
    </row>
    <row r="152">
      <c r="B152" s="29"/>
      <c r="C152" s="6"/>
    </row>
    <row r="153">
      <c r="B153" s="29"/>
      <c r="C153" s="6"/>
    </row>
    <row r="154">
      <c r="B154" s="29"/>
      <c r="C154" s="6"/>
    </row>
    <row r="155">
      <c r="B155" s="29"/>
      <c r="C155" s="6"/>
    </row>
    <row r="156">
      <c r="B156" s="29"/>
      <c r="C156" s="6"/>
    </row>
    <row r="157">
      <c r="B157" s="29"/>
      <c r="C157" s="6"/>
    </row>
    <row r="158">
      <c r="B158" s="29"/>
      <c r="C158" s="6"/>
    </row>
    <row r="159">
      <c r="B159" s="29"/>
      <c r="C159" s="6"/>
    </row>
    <row r="160">
      <c r="B160" s="29"/>
      <c r="C160" s="6"/>
    </row>
    <row r="161">
      <c r="B161" s="29"/>
      <c r="C161" s="6"/>
    </row>
    <row r="162">
      <c r="B162" s="29"/>
      <c r="C162" s="6"/>
    </row>
    <row r="163">
      <c r="B163" s="29"/>
      <c r="C163" s="6"/>
    </row>
    <row r="164">
      <c r="B164" s="29"/>
      <c r="C164" s="6"/>
    </row>
    <row r="165">
      <c r="B165" s="29"/>
      <c r="C165" s="6"/>
    </row>
    <row r="166">
      <c r="B166" s="29"/>
      <c r="C166" s="6"/>
    </row>
    <row r="167">
      <c r="B167" s="29"/>
      <c r="C167" s="6"/>
    </row>
    <row r="168">
      <c r="B168" s="29"/>
      <c r="C168" s="6"/>
    </row>
    <row r="169">
      <c r="B169" s="29"/>
      <c r="C169" s="6"/>
    </row>
    <row r="170">
      <c r="B170" s="29"/>
      <c r="C170" s="6"/>
    </row>
    <row r="171">
      <c r="B171" s="29"/>
      <c r="C171" s="6"/>
    </row>
    <row r="172">
      <c r="B172" s="29"/>
      <c r="C172" s="6"/>
    </row>
    <row r="173">
      <c r="B173" s="29"/>
      <c r="C173" s="6"/>
    </row>
    <row r="174">
      <c r="B174" s="29"/>
      <c r="C174" s="6"/>
    </row>
    <row r="175">
      <c r="B175" s="29"/>
      <c r="C175" s="6"/>
    </row>
    <row r="176">
      <c r="B176" s="29"/>
      <c r="C176" s="6"/>
    </row>
    <row r="177">
      <c r="B177" s="29"/>
      <c r="C177" s="6"/>
    </row>
    <row r="178">
      <c r="B178" s="29"/>
      <c r="C178" s="6"/>
    </row>
    <row r="179">
      <c r="B179" s="29"/>
      <c r="C179" s="6"/>
    </row>
    <row r="180">
      <c r="B180" s="29"/>
      <c r="C180" s="6"/>
    </row>
    <row r="181">
      <c r="B181" s="29"/>
      <c r="C181" s="6"/>
    </row>
    <row r="182">
      <c r="B182" s="29"/>
      <c r="C182" s="6"/>
    </row>
    <row r="183">
      <c r="B183" s="29"/>
      <c r="C183" s="6"/>
    </row>
    <row r="184">
      <c r="B184" s="29"/>
      <c r="C184" s="6"/>
    </row>
    <row r="185">
      <c r="B185" s="29"/>
      <c r="C185" s="6"/>
    </row>
    <row r="186">
      <c r="B186" s="29"/>
      <c r="C186" s="6"/>
    </row>
    <row r="187">
      <c r="B187" s="29"/>
      <c r="C187" s="6"/>
    </row>
    <row r="188">
      <c r="B188" s="29"/>
      <c r="C188" s="6"/>
    </row>
    <row r="189">
      <c r="B189" s="29"/>
      <c r="C189" s="6"/>
    </row>
    <row r="190">
      <c r="B190" s="29"/>
      <c r="C190" s="6"/>
    </row>
    <row r="191">
      <c r="B191" s="29"/>
      <c r="C191" s="6"/>
    </row>
    <row r="192">
      <c r="B192" s="29"/>
      <c r="C192" s="6"/>
    </row>
    <row r="193">
      <c r="B193" s="29"/>
      <c r="C193" s="6"/>
    </row>
    <row r="194">
      <c r="B194" s="29"/>
      <c r="C194" s="6"/>
    </row>
    <row r="195">
      <c r="B195" s="29"/>
      <c r="C195" s="6"/>
    </row>
    <row r="196">
      <c r="B196" s="29"/>
      <c r="C196" s="6"/>
    </row>
    <row r="197">
      <c r="B197" s="29"/>
      <c r="C197" s="6"/>
    </row>
    <row r="198">
      <c r="B198" s="29"/>
      <c r="C198" s="6"/>
    </row>
    <row r="199">
      <c r="B199" s="29"/>
      <c r="C199" s="6"/>
    </row>
    <row r="200">
      <c r="B200" s="29"/>
      <c r="C200" s="6"/>
    </row>
    <row r="201">
      <c r="B201" s="29"/>
      <c r="C201" s="6"/>
    </row>
    <row r="202">
      <c r="B202" s="29"/>
      <c r="C202" s="6"/>
    </row>
    <row r="203">
      <c r="B203" s="29"/>
      <c r="C203" s="6"/>
    </row>
    <row r="204">
      <c r="B204" s="29"/>
      <c r="C204" s="6"/>
    </row>
    <row r="205">
      <c r="B205" s="29"/>
      <c r="C205" s="6"/>
    </row>
    <row r="206">
      <c r="B206" s="29"/>
      <c r="C206" s="6"/>
    </row>
    <row r="207">
      <c r="B207" s="29"/>
      <c r="C207" s="6"/>
    </row>
    <row r="208">
      <c r="B208" s="29"/>
      <c r="C208" s="6"/>
    </row>
    <row r="209">
      <c r="B209" s="29"/>
      <c r="C209" s="6"/>
    </row>
    <row r="210">
      <c r="B210" s="29"/>
      <c r="C210" s="6"/>
    </row>
    <row r="211">
      <c r="B211" s="29"/>
      <c r="C211" s="6"/>
    </row>
    <row r="212">
      <c r="B212" s="29"/>
      <c r="C212" s="6"/>
    </row>
    <row r="213">
      <c r="B213" s="29"/>
      <c r="C213" s="6"/>
    </row>
    <row r="214">
      <c r="B214" s="29"/>
      <c r="C214" s="6"/>
    </row>
    <row r="215">
      <c r="B215" s="29"/>
      <c r="C215" s="6"/>
    </row>
    <row r="216">
      <c r="B216" s="29"/>
      <c r="C216" s="6"/>
    </row>
    <row r="217">
      <c r="B217" s="29"/>
      <c r="C217" s="6"/>
    </row>
    <row r="218">
      <c r="B218" s="29"/>
      <c r="C218" s="6"/>
    </row>
    <row r="219">
      <c r="B219" s="29"/>
      <c r="C219" s="6"/>
    </row>
    <row r="220">
      <c r="B220" s="29"/>
      <c r="C220" s="6"/>
    </row>
    <row r="221">
      <c r="B221" s="29"/>
      <c r="C221" s="6"/>
    </row>
    <row r="222">
      <c r="B222" s="29"/>
      <c r="C222" s="6"/>
    </row>
    <row r="223">
      <c r="B223" s="29"/>
      <c r="C223" s="6"/>
    </row>
    <row r="224">
      <c r="B224" s="29"/>
      <c r="C224" s="6"/>
    </row>
    <row r="225">
      <c r="B225" s="29"/>
      <c r="C225" s="6"/>
    </row>
    <row r="226">
      <c r="B226" s="29"/>
      <c r="C226" s="6"/>
    </row>
    <row r="227">
      <c r="B227" s="29"/>
      <c r="C227" s="6"/>
    </row>
    <row r="228">
      <c r="B228" s="29"/>
      <c r="C228" s="6"/>
    </row>
    <row r="229">
      <c r="B229" s="29"/>
      <c r="C229" s="6"/>
    </row>
    <row r="230">
      <c r="B230" s="29"/>
      <c r="C230" s="6"/>
    </row>
    <row r="231">
      <c r="B231" s="29"/>
      <c r="C231" s="6"/>
    </row>
    <row r="232">
      <c r="B232" s="29"/>
      <c r="C232" s="6"/>
    </row>
    <row r="233">
      <c r="B233" s="29"/>
      <c r="C233" s="6"/>
    </row>
    <row r="234">
      <c r="B234" s="29"/>
      <c r="C234" s="6"/>
    </row>
    <row r="235">
      <c r="B235" s="29"/>
      <c r="C235" s="6"/>
    </row>
    <row r="236">
      <c r="B236" s="29"/>
      <c r="C236" s="6"/>
    </row>
    <row r="237">
      <c r="B237" s="29"/>
      <c r="C237" s="6"/>
    </row>
    <row r="238">
      <c r="B238" s="29"/>
      <c r="C238" s="6"/>
    </row>
    <row r="239">
      <c r="B239" s="29"/>
      <c r="C239" s="6"/>
    </row>
    <row r="240">
      <c r="B240" s="29"/>
      <c r="C240" s="6"/>
    </row>
    <row r="241">
      <c r="B241" s="29"/>
      <c r="C241" s="6"/>
    </row>
    <row r="242">
      <c r="B242" s="29"/>
      <c r="C242" s="6"/>
    </row>
    <row r="243">
      <c r="B243" s="29"/>
      <c r="C243" s="6"/>
    </row>
    <row r="244">
      <c r="B244" s="29"/>
      <c r="C244" s="6"/>
    </row>
    <row r="245">
      <c r="B245" s="29"/>
      <c r="C245" s="6"/>
    </row>
    <row r="246">
      <c r="B246" s="29"/>
      <c r="C246" s="6"/>
    </row>
    <row r="247">
      <c r="B247" s="29"/>
      <c r="C247" s="6"/>
    </row>
    <row r="248">
      <c r="B248" s="29"/>
      <c r="C248" s="6"/>
    </row>
    <row r="249">
      <c r="B249" s="29"/>
      <c r="C249" s="6"/>
    </row>
    <row r="250">
      <c r="B250" s="29"/>
      <c r="C250" s="6"/>
    </row>
    <row r="251">
      <c r="B251" s="29"/>
      <c r="C251" s="6"/>
    </row>
    <row r="252">
      <c r="B252" s="29"/>
      <c r="C252" s="6"/>
    </row>
    <row r="253">
      <c r="B253" s="29"/>
      <c r="C253" s="6"/>
    </row>
    <row r="254">
      <c r="B254" s="29"/>
      <c r="C254" s="6"/>
    </row>
    <row r="255">
      <c r="B255" s="29"/>
      <c r="C255" s="6"/>
    </row>
    <row r="256">
      <c r="B256" s="29"/>
      <c r="C256" s="6"/>
    </row>
    <row r="257">
      <c r="B257" s="29"/>
      <c r="C257" s="6"/>
    </row>
    <row r="258">
      <c r="B258" s="29"/>
      <c r="C258" s="6"/>
    </row>
    <row r="259">
      <c r="B259" s="29"/>
      <c r="C259" s="6"/>
    </row>
    <row r="260">
      <c r="B260" s="29"/>
      <c r="C260" s="6"/>
    </row>
    <row r="261">
      <c r="B261" s="29"/>
      <c r="C261" s="6"/>
    </row>
    <row r="262">
      <c r="B262" s="29"/>
      <c r="C262" s="6"/>
    </row>
    <row r="263">
      <c r="B263" s="29"/>
      <c r="C263" s="6"/>
    </row>
    <row r="264">
      <c r="B264" s="29"/>
      <c r="C264" s="6"/>
    </row>
    <row r="265">
      <c r="B265" s="29"/>
      <c r="C265" s="6"/>
    </row>
    <row r="266">
      <c r="B266" s="29"/>
      <c r="C266" s="6"/>
    </row>
    <row r="267">
      <c r="B267" s="29"/>
      <c r="C267" s="6"/>
    </row>
    <row r="268">
      <c r="B268" s="29"/>
      <c r="C268" s="6"/>
    </row>
    <row r="269">
      <c r="B269" s="29"/>
      <c r="C269" s="6"/>
    </row>
    <row r="270">
      <c r="B270" s="29"/>
      <c r="C270" s="6"/>
    </row>
    <row r="271">
      <c r="B271" s="29"/>
      <c r="C271" s="6"/>
    </row>
    <row r="272">
      <c r="B272" s="29"/>
      <c r="C272" s="6"/>
    </row>
    <row r="273">
      <c r="B273" s="29"/>
      <c r="C273" s="6"/>
    </row>
    <row r="274">
      <c r="B274" s="29"/>
      <c r="C274" s="6"/>
    </row>
    <row r="275">
      <c r="B275" s="29"/>
      <c r="C275" s="6"/>
    </row>
    <row r="276">
      <c r="B276" s="29"/>
      <c r="C276" s="6"/>
    </row>
    <row r="277">
      <c r="B277" s="29"/>
      <c r="C277" s="6"/>
    </row>
    <row r="278">
      <c r="B278" s="29"/>
      <c r="C278" s="6"/>
    </row>
    <row r="279">
      <c r="B279" s="29"/>
      <c r="C279" s="6"/>
    </row>
    <row r="280">
      <c r="B280" s="29"/>
      <c r="C280" s="6"/>
    </row>
    <row r="281">
      <c r="B281" s="29"/>
      <c r="C281" s="6"/>
    </row>
    <row r="282">
      <c r="B282" s="29"/>
      <c r="C282" s="6"/>
    </row>
    <row r="283">
      <c r="B283" s="29"/>
      <c r="C283" s="6"/>
    </row>
    <row r="284">
      <c r="B284" s="29"/>
      <c r="C284" s="6"/>
    </row>
    <row r="285">
      <c r="B285" s="29"/>
      <c r="C285" s="6"/>
    </row>
    <row r="286">
      <c r="B286" s="29"/>
      <c r="C286" s="6"/>
    </row>
    <row r="287">
      <c r="B287" s="29"/>
      <c r="C287" s="6"/>
    </row>
    <row r="288">
      <c r="B288" s="29"/>
      <c r="C288" s="6"/>
    </row>
    <row r="289">
      <c r="B289" s="29"/>
      <c r="C289" s="6"/>
    </row>
    <row r="290">
      <c r="B290" s="29"/>
      <c r="C290" s="6"/>
    </row>
    <row r="291">
      <c r="B291" s="29"/>
      <c r="C291" s="6"/>
    </row>
    <row r="292">
      <c r="B292" s="29"/>
      <c r="C292" s="6"/>
    </row>
    <row r="293">
      <c r="B293" s="29"/>
      <c r="C293" s="6"/>
    </row>
    <row r="294">
      <c r="B294" s="29"/>
      <c r="C294" s="6"/>
    </row>
    <row r="295">
      <c r="B295" s="29"/>
      <c r="C295" s="6"/>
    </row>
    <row r="296">
      <c r="B296" s="29"/>
      <c r="C296" s="6"/>
    </row>
    <row r="297">
      <c r="B297" s="29"/>
      <c r="C297" s="6"/>
    </row>
    <row r="298">
      <c r="B298" s="29"/>
      <c r="C298" s="6"/>
    </row>
    <row r="299">
      <c r="B299" s="29"/>
      <c r="C299" s="6"/>
    </row>
    <row r="300">
      <c r="B300" s="29"/>
      <c r="C300" s="6"/>
    </row>
    <row r="301">
      <c r="B301" s="29"/>
      <c r="C301" s="6"/>
    </row>
    <row r="302">
      <c r="B302" s="29"/>
      <c r="C302" s="6"/>
    </row>
    <row r="303">
      <c r="B303" s="29"/>
      <c r="C303" s="6"/>
    </row>
    <row r="304">
      <c r="B304" s="29"/>
      <c r="C304" s="6"/>
    </row>
    <row r="305">
      <c r="B305" s="29"/>
      <c r="C305" s="6"/>
    </row>
    <row r="306">
      <c r="B306" s="29"/>
      <c r="C306" s="6"/>
    </row>
    <row r="307">
      <c r="B307" s="29"/>
      <c r="C307" s="6"/>
    </row>
    <row r="308">
      <c r="B308" s="29"/>
      <c r="C308" s="6"/>
    </row>
    <row r="309">
      <c r="B309" s="29"/>
      <c r="C309" s="6"/>
    </row>
    <row r="310">
      <c r="B310" s="29"/>
      <c r="C310" s="6"/>
    </row>
    <row r="311">
      <c r="B311" s="29"/>
      <c r="C311" s="6"/>
    </row>
    <row r="312">
      <c r="B312" s="29"/>
      <c r="C312" s="6"/>
    </row>
    <row r="313">
      <c r="B313" s="29"/>
      <c r="C313" s="6"/>
    </row>
    <row r="314">
      <c r="B314" s="29"/>
      <c r="C314" s="6"/>
    </row>
    <row r="315">
      <c r="B315" s="29"/>
      <c r="C315" s="6"/>
    </row>
    <row r="316">
      <c r="B316" s="29"/>
      <c r="C316" s="6"/>
    </row>
    <row r="317">
      <c r="B317" s="29"/>
      <c r="C317" s="6"/>
    </row>
    <row r="318">
      <c r="B318" s="29"/>
      <c r="C318" s="6"/>
    </row>
    <row r="319">
      <c r="B319" s="29"/>
      <c r="C319" s="6"/>
    </row>
    <row r="320">
      <c r="B320" s="29"/>
      <c r="C320" s="6"/>
    </row>
    <row r="321">
      <c r="B321" s="29"/>
      <c r="C321" s="6"/>
    </row>
    <row r="322">
      <c r="B322" s="29"/>
      <c r="C322" s="6"/>
    </row>
    <row r="323">
      <c r="B323" s="29"/>
      <c r="C323" s="6"/>
    </row>
    <row r="324">
      <c r="B324" s="29"/>
      <c r="C324" s="6"/>
    </row>
    <row r="325">
      <c r="B325" s="29"/>
      <c r="C325" s="6"/>
    </row>
    <row r="326">
      <c r="B326" s="29"/>
      <c r="C326" s="6"/>
    </row>
    <row r="327">
      <c r="B327" s="29"/>
      <c r="C327" s="6"/>
    </row>
    <row r="328">
      <c r="B328" s="29"/>
      <c r="C328" s="6"/>
    </row>
    <row r="329">
      <c r="B329" s="29"/>
      <c r="C329" s="6"/>
    </row>
    <row r="330">
      <c r="B330" s="29"/>
      <c r="C330" s="6"/>
    </row>
    <row r="331">
      <c r="B331" s="29"/>
      <c r="C331" s="6"/>
    </row>
    <row r="332">
      <c r="B332" s="29"/>
      <c r="C332" s="6"/>
    </row>
    <row r="333">
      <c r="B333" s="29"/>
      <c r="C333" s="6"/>
    </row>
    <row r="334">
      <c r="B334" s="29"/>
      <c r="C334" s="6"/>
    </row>
    <row r="335">
      <c r="B335" s="29"/>
      <c r="C335" s="6"/>
    </row>
    <row r="336">
      <c r="B336" s="29"/>
      <c r="C336" s="6"/>
    </row>
    <row r="337">
      <c r="B337" s="29"/>
      <c r="C337" s="6"/>
    </row>
    <row r="338">
      <c r="B338" s="29"/>
      <c r="C338" s="6"/>
    </row>
    <row r="339">
      <c r="B339" s="29"/>
      <c r="C339" s="6"/>
    </row>
    <row r="340">
      <c r="B340" s="29"/>
      <c r="C340" s="6"/>
    </row>
    <row r="341">
      <c r="B341" s="29"/>
      <c r="C341" s="6"/>
    </row>
    <row r="342">
      <c r="B342" s="29"/>
      <c r="C342" s="6"/>
    </row>
    <row r="343">
      <c r="B343" s="29"/>
      <c r="C343" s="6"/>
    </row>
    <row r="344">
      <c r="B344" s="29"/>
      <c r="C344" s="6"/>
    </row>
    <row r="345">
      <c r="B345" s="29"/>
      <c r="C345" s="6"/>
    </row>
    <row r="346">
      <c r="B346" s="29"/>
      <c r="C346" s="6"/>
    </row>
    <row r="347">
      <c r="B347" s="29"/>
      <c r="C347" s="6"/>
    </row>
    <row r="348">
      <c r="B348" s="29"/>
      <c r="C348" s="6"/>
    </row>
    <row r="349">
      <c r="B349" s="29"/>
      <c r="C349" s="6"/>
    </row>
    <row r="350">
      <c r="B350" s="29"/>
      <c r="C350" s="6"/>
    </row>
    <row r="351">
      <c r="B351" s="29"/>
      <c r="C351" s="6"/>
    </row>
    <row r="352">
      <c r="B352" s="29"/>
      <c r="C352" s="6"/>
    </row>
    <row r="353">
      <c r="B353" s="29"/>
      <c r="C353" s="6"/>
    </row>
    <row r="354">
      <c r="B354" s="29"/>
      <c r="C354" s="6"/>
    </row>
    <row r="355">
      <c r="B355" s="29"/>
      <c r="C355" s="6"/>
    </row>
    <row r="356">
      <c r="B356" s="29"/>
      <c r="C356" s="6"/>
    </row>
    <row r="357">
      <c r="B357" s="29"/>
      <c r="C357" s="6"/>
    </row>
    <row r="358">
      <c r="B358" s="29"/>
      <c r="C358" s="6"/>
    </row>
    <row r="359">
      <c r="B359" s="29"/>
      <c r="C359" s="6"/>
    </row>
    <row r="360">
      <c r="B360" s="29"/>
      <c r="C360" s="6"/>
    </row>
    <row r="361">
      <c r="B361" s="29"/>
      <c r="C361" s="6"/>
    </row>
    <row r="362">
      <c r="B362" s="29"/>
      <c r="C362" s="6"/>
    </row>
    <row r="363">
      <c r="B363" s="29"/>
      <c r="C363" s="6"/>
    </row>
    <row r="364">
      <c r="B364" s="29"/>
      <c r="C364" s="6"/>
    </row>
    <row r="365">
      <c r="B365" s="29"/>
      <c r="C365" s="6"/>
    </row>
    <row r="366">
      <c r="B366" s="29"/>
      <c r="C366" s="6"/>
    </row>
    <row r="367">
      <c r="B367" s="29"/>
      <c r="C367" s="6"/>
    </row>
    <row r="368">
      <c r="B368" s="29"/>
      <c r="C368" s="6"/>
    </row>
    <row r="369">
      <c r="B369" s="29"/>
      <c r="C369" s="6"/>
    </row>
    <row r="370">
      <c r="B370" s="29"/>
      <c r="C370" s="6"/>
    </row>
    <row r="371">
      <c r="B371" s="29"/>
      <c r="C371" s="6"/>
    </row>
    <row r="372">
      <c r="B372" s="29"/>
      <c r="C372" s="6"/>
    </row>
    <row r="373">
      <c r="B373" s="29"/>
      <c r="C373" s="6"/>
    </row>
    <row r="374">
      <c r="B374" s="29"/>
      <c r="C374" s="6"/>
    </row>
    <row r="375">
      <c r="B375" s="29"/>
      <c r="C375" s="6"/>
    </row>
    <row r="376">
      <c r="B376" s="29"/>
      <c r="C376" s="6"/>
    </row>
    <row r="377">
      <c r="B377" s="29"/>
      <c r="C377" s="6"/>
    </row>
    <row r="378">
      <c r="B378" s="29"/>
      <c r="C378" s="6"/>
    </row>
    <row r="379">
      <c r="B379" s="29"/>
      <c r="C379" s="6"/>
    </row>
    <row r="380">
      <c r="B380" s="29"/>
      <c r="C380" s="6"/>
    </row>
    <row r="381">
      <c r="B381" s="29"/>
      <c r="C381" s="6"/>
    </row>
    <row r="382">
      <c r="B382" s="29"/>
      <c r="C382" s="6"/>
    </row>
    <row r="383">
      <c r="B383" s="29"/>
      <c r="C383" s="6"/>
    </row>
    <row r="384">
      <c r="B384" s="29"/>
      <c r="C384" s="6"/>
    </row>
    <row r="385">
      <c r="B385" s="29"/>
      <c r="C385" s="6"/>
    </row>
    <row r="386">
      <c r="B386" s="29"/>
      <c r="C386" s="6"/>
    </row>
    <row r="387">
      <c r="B387" s="29"/>
      <c r="C387" s="6"/>
    </row>
    <row r="388">
      <c r="B388" s="29"/>
      <c r="C388" s="6"/>
    </row>
    <row r="389">
      <c r="B389" s="29"/>
      <c r="C389" s="6"/>
    </row>
    <row r="390">
      <c r="B390" s="29"/>
      <c r="C390" s="6"/>
    </row>
    <row r="391">
      <c r="B391" s="29"/>
      <c r="C391" s="6"/>
    </row>
    <row r="392">
      <c r="B392" s="29"/>
      <c r="C392" s="6"/>
    </row>
    <row r="393">
      <c r="B393" s="29"/>
      <c r="C393" s="6"/>
    </row>
    <row r="394">
      <c r="B394" s="29"/>
      <c r="C394" s="6"/>
    </row>
    <row r="395">
      <c r="B395" s="29"/>
      <c r="C395" s="6"/>
    </row>
    <row r="396">
      <c r="B396" s="29"/>
      <c r="C396" s="6"/>
    </row>
    <row r="397">
      <c r="B397" s="29"/>
      <c r="C397" s="6"/>
    </row>
    <row r="398">
      <c r="B398" s="29"/>
      <c r="C398" s="6"/>
    </row>
    <row r="399">
      <c r="B399" s="29"/>
      <c r="C399" s="6"/>
    </row>
    <row r="400">
      <c r="B400" s="29"/>
      <c r="C400" s="6"/>
    </row>
    <row r="401">
      <c r="B401" s="29"/>
      <c r="C401" s="6"/>
    </row>
    <row r="402">
      <c r="B402" s="29"/>
      <c r="C402" s="6"/>
    </row>
    <row r="403">
      <c r="B403" s="29"/>
      <c r="C403" s="6"/>
    </row>
    <row r="404">
      <c r="B404" s="29"/>
      <c r="C404" s="6"/>
    </row>
    <row r="405">
      <c r="B405" s="29"/>
      <c r="C405" s="6"/>
    </row>
    <row r="406">
      <c r="B406" s="29"/>
      <c r="C406" s="6"/>
    </row>
    <row r="407">
      <c r="B407" s="29"/>
      <c r="C407" s="6"/>
    </row>
    <row r="408">
      <c r="B408" s="29"/>
      <c r="C408" s="6"/>
    </row>
    <row r="409">
      <c r="B409" s="29"/>
      <c r="C409" s="6"/>
    </row>
    <row r="410">
      <c r="B410" s="29"/>
      <c r="C410" s="6"/>
    </row>
    <row r="411">
      <c r="B411" s="29"/>
      <c r="C411" s="6"/>
    </row>
    <row r="412">
      <c r="B412" s="29"/>
      <c r="C412" s="6"/>
    </row>
    <row r="413">
      <c r="B413" s="29"/>
      <c r="C413" s="6"/>
    </row>
    <row r="414">
      <c r="B414" s="29"/>
      <c r="C414" s="6"/>
    </row>
    <row r="415">
      <c r="B415" s="29"/>
      <c r="C415" s="6"/>
    </row>
    <row r="416">
      <c r="B416" s="29"/>
      <c r="C416" s="6"/>
    </row>
    <row r="417">
      <c r="B417" s="29"/>
      <c r="C417" s="6"/>
    </row>
    <row r="418">
      <c r="B418" s="29"/>
      <c r="C418" s="6"/>
    </row>
    <row r="419">
      <c r="B419" s="29"/>
      <c r="C419" s="6"/>
    </row>
    <row r="420">
      <c r="B420" s="29"/>
      <c r="C420" s="6"/>
    </row>
    <row r="421">
      <c r="B421" s="29"/>
      <c r="C421" s="6"/>
    </row>
    <row r="422">
      <c r="B422" s="29"/>
      <c r="C422" s="6"/>
    </row>
    <row r="423">
      <c r="B423" s="29"/>
      <c r="C423" s="6"/>
    </row>
    <row r="424">
      <c r="B424" s="29"/>
      <c r="C424" s="6"/>
    </row>
    <row r="425">
      <c r="B425" s="29"/>
      <c r="C425" s="6"/>
    </row>
    <row r="426">
      <c r="B426" s="29"/>
      <c r="C426" s="6"/>
    </row>
    <row r="427">
      <c r="B427" s="29"/>
      <c r="C427" s="6"/>
    </row>
    <row r="428">
      <c r="B428" s="29"/>
      <c r="C428" s="6"/>
    </row>
    <row r="429">
      <c r="B429" s="29"/>
      <c r="C429" s="6"/>
    </row>
    <row r="430">
      <c r="B430" s="29"/>
      <c r="C430" s="6"/>
    </row>
    <row r="431">
      <c r="B431" s="29"/>
      <c r="C431" s="6"/>
    </row>
    <row r="432">
      <c r="B432" s="29"/>
      <c r="C432" s="6"/>
    </row>
    <row r="433">
      <c r="B433" s="29"/>
      <c r="C433" s="6"/>
    </row>
    <row r="434">
      <c r="B434" s="29"/>
      <c r="C434" s="6"/>
    </row>
    <row r="435">
      <c r="B435" s="29"/>
      <c r="C435" s="6"/>
    </row>
    <row r="436">
      <c r="B436" s="29"/>
      <c r="C436" s="6"/>
    </row>
    <row r="437">
      <c r="B437" s="29"/>
      <c r="C437" s="6"/>
    </row>
    <row r="438">
      <c r="B438" s="29"/>
      <c r="C438" s="6"/>
    </row>
    <row r="439">
      <c r="B439" s="29"/>
      <c r="C439" s="6"/>
    </row>
    <row r="440">
      <c r="B440" s="29"/>
      <c r="C440" s="6"/>
    </row>
    <row r="441">
      <c r="B441" s="29"/>
      <c r="C441" s="6"/>
    </row>
    <row r="442">
      <c r="B442" s="29"/>
      <c r="C442" s="6"/>
    </row>
    <row r="443">
      <c r="B443" s="29"/>
      <c r="C443" s="6"/>
    </row>
    <row r="444">
      <c r="B444" s="29"/>
      <c r="C444" s="6"/>
    </row>
    <row r="445">
      <c r="B445" s="29"/>
      <c r="C445" s="6"/>
    </row>
    <row r="446">
      <c r="B446" s="29"/>
      <c r="C446" s="6"/>
    </row>
    <row r="447">
      <c r="B447" s="29"/>
      <c r="C447" s="6"/>
    </row>
    <row r="448">
      <c r="B448" s="29"/>
      <c r="C448" s="6"/>
    </row>
    <row r="449">
      <c r="B449" s="29"/>
      <c r="C449" s="6"/>
    </row>
    <row r="450">
      <c r="B450" s="29"/>
      <c r="C450" s="6"/>
    </row>
    <row r="451">
      <c r="B451" s="29"/>
      <c r="C451" s="6"/>
    </row>
    <row r="452">
      <c r="B452" s="29"/>
      <c r="C452" s="6"/>
    </row>
    <row r="453">
      <c r="B453" s="29"/>
      <c r="C453" s="6"/>
    </row>
    <row r="454">
      <c r="B454" s="29"/>
      <c r="C454" s="6"/>
    </row>
    <row r="455">
      <c r="B455" s="29"/>
      <c r="C455" s="6"/>
    </row>
    <row r="456">
      <c r="B456" s="29"/>
      <c r="C456" s="6"/>
    </row>
    <row r="457">
      <c r="B457" s="29"/>
      <c r="C457" s="6"/>
    </row>
    <row r="458">
      <c r="B458" s="29"/>
      <c r="C458" s="6"/>
    </row>
    <row r="459">
      <c r="B459" s="29"/>
      <c r="C459" s="6"/>
    </row>
    <row r="460">
      <c r="B460" s="29"/>
      <c r="C460" s="6"/>
    </row>
    <row r="461">
      <c r="B461" s="29"/>
      <c r="C461" s="6"/>
    </row>
    <row r="462">
      <c r="B462" s="29"/>
      <c r="C462" s="6"/>
    </row>
    <row r="463">
      <c r="B463" s="29"/>
      <c r="C463" s="6"/>
    </row>
    <row r="464">
      <c r="B464" s="29"/>
      <c r="C464" s="6"/>
    </row>
    <row r="465">
      <c r="B465" s="29"/>
      <c r="C465" s="6"/>
    </row>
    <row r="466">
      <c r="B466" s="29"/>
      <c r="C466" s="6"/>
    </row>
    <row r="467">
      <c r="B467" s="29"/>
      <c r="C467" s="6"/>
    </row>
    <row r="468">
      <c r="B468" s="29"/>
      <c r="C468" s="6"/>
    </row>
    <row r="469">
      <c r="B469" s="29"/>
      <c r="C469" s="6"/>
    </row>
    <row r="470">
      <c r="B470" s="29"/>
      <c r="C470" s="6"/>
    </row>
    <row r="471">
      <c r="B471" s="29"/>
      <c r="C471" s="6"/>
    </row>
    <row r="472">
      <c r="B472" s="29"/>
      <c r="C472" s="6"/>
    </row>
    <row r="473">
      <c r="B473" s="29"/>
      <c r="C473" s="6"/>
    </row>
    <row r="474">
      <c r="B474" s="29"/>
      <c r="C474" s="6"/>
    </row>
    <row r="475">
      <c r="B475" s="29"/>
      <c r="C475" s="6"/>
    </row>
    <row r="476">
      <c r="B476" s="29"/>
      <c r="C476" s="6"/>
    </row>
    <row r="477">
      <c r="B477" s="29"/>
      <c r="C477" s="6"/>
    </row>
    <row r="478">
      <c r="B478" s="29"/>
      <c r="C478" s="6"/>
    </row>
    <row r="479">
      <c r="B479" s="29"/>
      <c r="C479" s="6"/>
    </row>
    <row r="480">
      <c r="B480" s="29"/>
      <c r="C480" s="6"/>
    </row>
    <row r="481">
      <c r="B481" s="29"/>
      <c r="C481" s="6"/>
    </row>
    <row r="482">
      <c r="B482" s="29"/>
      <c r="C482" s="6"/>
    </row>
    <row r="483">
      <c r="B483" s="29"/>
      <c r="C483" s="6"/>
    </row>
    <row r="484">
      <c r="B484" s="29"/>
      <c r="C484" s="6"/>
    </row>
    <row r="485">
      <c r="B485" s="29"/>
      <c r="C485" s="6"/>
    </row>
    <row r="486">
      <c r="B486" s="29"/>
      <c r="C486" s="6"/>
    </row>
    <row r="487">
      <c r="B487" s="29"/>
      <c r="C487" s="6"/>
    </row>
    <row r="488">
      <c r="B488" s="29"/>
      <c r="C488" s="6"/>
    </row>
    <row r="489">
      <c r="B489" s="29"/>
      <c r="C489" s="6"/>
    </row>
    <row r="490">
      <c r="B490" s="29"/>
      <c r="C490" s="6"/>
    </row>
    <row r="491">
      <c r="B491" s="29"/>
      <c r="C491" s="6"/>
    </row>
    <row r="492">
      <c r="B492" s="29"/>
      <c r="C492" s="6"/>
    </row>
    <row r="493">
      <c r="B493" s="29"/>
      <c r="C493" s="6"/>
    </row>
    <row r="494">
      <c r="B494" s="29"/>
      <c r="C494" s="6"/>
    </row>
    <row r="495">
      <c r="B495" s="29"/>
      <c r="C495" s="6"/>
    </row>
    <row r="496">
      <c r="B496" s="29"/>
      <c r="C496" s="6"/>
    </row>
    <row r="497">
      <c r="B497" s="29"/>
      <c r="C497" s="6"/>
    </row>
    <row r="498">
      <c r="B498" s="29"/>
      <c r="C498" s="6"/>
    </row>
    <row r="499">
      <c r="B499" s="29"/>
      <c r="C499" s="6"/>
    </row>
    <row r="500">
      <c r="B500" s="29"/>
      <c r="C500" s="6"/>
    </row>
    <row r="501">
      <c r="B501" s="29"/>
      <c r="C501" s="6"/>
    </row>
    <row r="502">
      <c r="B502" s="29"/>
      <c r="C502" s="6"/>
    </row>
    <row r="503">
      <c r="B503" s="29"/>
      <c r="C503" s="6"/>
    </row>
    <row r="504">
      <c r="B504" s="29"/>
      <c r="C504" s="6"/>
    </row>
    <row r="505">
      <c r="B505" s="29"/>
      <c r="C505" s="6"/>
    </row>
    <row r="506">
      <c r="B506" s="29"/>
      <c r="C506" s="6"/>
    </row>
    <row r="507">
      <c r="B507" s="29"/>
      <c r="C507" s="6"/>
    </row>
    <row r="508">
      <c r="B508" s="29"/>
      <c r="C508" s="6"/>
    </row>
    <row r="509">
      <c r="B509" s="29"/>
      <c r="C509" s="6"/>
    </row>
    <row r="510">
      <c r="B510" s="29"/>
      <c r="C510" s="6"/>
    </row>
    <row r="511">
      <c r="B511" s="29"/>
      <c r="C511" s="6"/>
    </row>
    <row r="512">
      <c r="B512" s="29"/>
      <c r="C512" s="6"/>
    </row>
    <row r="513">
      <c r="B513" s="29"/>
      <c r="C513" s="6"/>
    </row>
    <row r="514">
      <c r="B514" s="29"/>
      <c r="C514" s="6"/>
    </row>
    <row r="515">
      <c r="B515" s="29"/>
      <c r="C515" s="6"/>
    </row>
    <row r="516">
      <c r="B516" s="29"/>
      <c r="C516" s="6"/>
    </row>
    <row r="517">
      <c r="B517" s="29"/>
      <c r="C517" s="6"/>
    </row>
    <row r="518">
      <c r="B518" s="29"/>
      <c r="C518" s="6"/>
    </row>
    <row r="519">
      <c r="B519" s="29"/>
      <c r="C519" s="6"/>
    </row>
    <row r="520">
      <c r="B520" s="29"/>
      <c r="C520" s="6"/>
    </row>
    <row r="521">
      <c r="B521" s="29"/>
      <c r="C521" s="6"/>
    </row>
    <row r="522">
      <c r="B522" s="29"/>
      <c r="C522" s="6"/>
    </row>
    <row r="523">
      <c r="B523" s="29"/>
      <c r="C523" s="6"/>
    </row>
    <row r="524">
      <c r="B524" s="29"/>
      <c r="C524" s="6"/>
    </row>
    <row r="525">
      <c r="B525" s="29"/>
      <c r="C525" s="6"/>
    </row>
    <row r="526">
      <c r="B526" s="29"/>
      <c r="C526" s="6"/>
    </row>
    <row r="527">
      <c r="B527" s="29"/>
      <c r="C527" s="6"/>
    </row>
    <row r="528">
      <c r="B528" s="29"/>
      <c r="C528" s="6"/>
    </row>
    <row r="529">
      <c r="B529" s="29"/>
      <c r="C529" s="6"/>
    </row>
    <row r="530">
      <c r="B530" s="29"/>
      <c r="C530" s="6"/>
    </row>
    <row r="531">
      <c r="B531" s="29"/>
      <c r="C531" s="6"/>
    </row>
    <row r="532">
      <c r="B532" s="29"/>
      <c r="C532" s="6"/>
    </row>
    <row r="533">
      <c r="B533" s="29"/>
      <c r="C533" s="6"/>
    </row>
    <row r="534">
      <c r="B534" s="29"/>
      <c r="C534" s="6"/>
    </row>
    <row r="535">
      <c r="B535" s="29"/>
      <c r="C535" s="6"/>
    </row>
    <row r="536">
      <c r="B536" s="29"/>
      <c r="C536" s="6"/>
    </row>
    <row r="537">
      <c r="B537" s="29"/>
      <c r="C537" s="6"/>
    </row>
    <row r="538">
      <c r="B538" s="29"/>
      <c r="C538" s="6"/>
    </row>
    <row r="539">
      <c r="B539" s="29"/>
      <c r="C539" s="6"/>
    </row>
    <row r="540">
      <c r="B540" s="29"/>
      <c r="C540" s="6"/>
    </row>
    <row r="541">
      <c r="B541" s="29"/>
      <c r="C541" s="6"/>
    </row>
    <row r="542">
      <c r="B542" s="29"/>
      <c r="C542" s="6"/>
    </row>
    <row r="543">
      <c r="B543" s="29"/>
      <c r="C543" s="6"/>
    </row>
    <row r="544">
      <c r="B544" s="29"/>
      <c r="C544" s="6"/>
    </row>
    <row r="545">
      <c r="B545" s="29"/>
      <c r="C545" s="6"/>
    </row>
    <row r="546">
      <c r="B546" s="29"/>
      <c r="C546" s="6"/>
    </row>
    <row r="547">
      <c r="B547" s="29"/>
      <c r="C547" s="6"/>
    </row>
    <row r="548">
      <c r="B548" s="29"/>
      <c r="C548" s="6"/>
    </row>
    <row r="549">
      <c r="B549" s="29"/>
      <c r="C549" s="6"/>
    </row>
    <row r="550">
      <c r="B550" s="29"/>
      <c r="C550" s="6"/>
    </row>
    <row r="551">
      <c r="B551" s="29"/>
      <c r="C551" s="6"/>
    </row>
    <row r="552">
      <c r="B552" s="29"/>
      <c r="C552" s="6"/>
    </row>
    <row r="553">
      <c r="B553" s="29"/>
      <c r="C553" s="6"/>
    </row>
    <row r="554">
      <c r="B554" s="29"/>
      <c r="C554" s="6"/>
    </row>
    <row r="555">
      <c r="B555" s="29"/>
      <c r="C555" s="6"/>
    </row>
    <row r="556">
      <c r="B556" s="29"/>
      <c r="C556" s="6"/>
    </row>
    <row r="557">
      <c r="B557" s="29"/>
      <c r="C557" s="6"/>
    </row>
    <row r="558">
      <c r="B558" s="29"/>
      <c r="C558" s="6"/>
    </row>
    <row r="559">
      <c r="B559" s="29"/>
      <c r="C559" s="6"/>
    </row>
    <row r="560">
      <c r="B560" s="29"/>
      <c r="C560" s="6"/>
    </row>
    <row r="561">
      <c r="B561" s="29"/>
      <c r="C561" s="6"/>
    </row>
    <row r="562">
      <c r="B562" s="29"/>
      <c r="C562" s="6"/>
    </row>
    <row r="563">
      <c r="B563" s="29"/>
      <c r="C563" s="6"/>
    </row>
    <row r="564">
      <c r="B564" s="29"/>
      <c r="C564" s="6"/>
    </row>
    <row r="565">
      <c r="B565" s="29"/>
      <c r="C565" s="6"/>
    </row>
    <row r="566">
      <c r="B566" s="29"/>
      <c r="C566" s="6"/>
    </row>
    <row r="567">
      <c r="B567" s="29"/>
      <c r="C567" s="6"/>
    </row>
    <row r="568">
      <c r="B568" s="29"/>
      <c r="C568" s="6"/>
    </row>
    <row r="569">
      <c r="B569" s="29"/>
      <c r="C569" s="6"/>
    </row>
    <row r="570">
      <c r="B570" s="29"/>
      <c r="C570" s="6"/>
    </row>
    <row r="571">
      <c r="B571" s="29"/>
      <c r="C571" s="6"/>
    </row>
    <row r="572">
      <c r="B572" s="29"/>
      <c r="C572" s="6"/>
    </row>
    <row r="573">
      <c r="B573" s="29"/>
      <c r="C573" s="6"/>
    </row>
    <row r="574">
      <c r="B574" s="29"/>
      <c r="C574" s="6"/>
    </row>
    <row r="575">
      <c r="B575" s="29"/>
      <c r="C575" s="6"/>
    </row>
    <row r="576">
      <c r="B576" s="29"/>
      <c r="C576" s="6"/>
    </row>
    <row r="577">
      <c r="B577" s="29"/>
      <c r="C577" s="6"/>
    </row>
    <row r="578">
      <c r="B578" s="29"/>
      <c r="C578" s="6"/>
    </row>
    <row r="579">
      <c r="B579" s="29"/>
      <c r="C579" s="6"/>
    </row>
    <row r="580">
      <c r="B580" s="29"/>
      <c r="C580" s="6"/>
    </row>
    <row r="581">
      <c r="B581" s="29"/>
      <c r="C581" s="6"/>
    </row>
    <row r="582">
      <c r="B582" s="29"/>
      <c r="C582" s="6"/>
    </row>
    <row r="583">
      <c r="B583" s="29"/>
      <c r="C583" s="6"/>
    </row>
    <row r="584">
      <c r="B584" s="29"/>
      <c r="C584" s="6"/>
    </row>
    <row r="585">
      <c r="B585" s="29"/>
      <c r="C585" s="6"/>
    </row>
    <row r="586">
      <c r="B586" s="29"/>
      <c r="C586" s="6"/>
    </row>
    <row r="587">
      <c r="B587" s="29"/>
      <c r="C587" s="6"/>
    </row>
    <row r="588">
      <c r="B588" s="29"/>
      <c r="C588" s="6"/>
    </row>
    <row r="589">
      <c r="B589" s="29"/>
      <c r="C589" s="6"/>
    </row>
    <row r="590">
      <c r="B590" s="29"/>
      <c r="C590" s="6"/>
    </row>
    <row r="591">
      <c r="B591" s="29"/>
      <c r="C591" s="6"/>
    </row>
    <row r="592">
      <c r="B592" s="29"/>
      <c r="C592" s="6"/>
    </row>
    <row r="593">
      <c r="B593" s="29"/>
      <c r="C593" s="6"/>
    </row>
    <row r="594">
      <c r="B594" s="29"/>
      <c r="C594" s="6"/>
    </row>
    <row r="595">
      <c r="B595" s="29"/>
      <c r="C595" s="6"/>
    </row>
    <row r="596">
      <c r="B596" s="29"/>
      <c r="C596" s="6"/>
    </row>
    <row r="597">
      <c r="B597" s="29"/>
      <c r="C597" s="6"/>
    </row>
    <row r="598">
      <c r="B598" s="29"/>
      <c r="C598" s="6"/>
    </row>
    <row r="599">
      <c r="B599" s="29"/>
      <c r="C599" s="6"/>
    </row>
    <row r="600">
      <c r="B600" s="29"/>
      <c r="C600" s="6"/>
    </row>
    <row r="601">
      <c r="B601" s="29"/>
      <c r="C601" s="6"/>
    </row>
    <row r="602">
      <c r="B602" s="29"/>
      <c r="C602" s="6"/>
    </row>
    <row r="603">
      <c r="B603" s="29"/>
      <c r="C603" s="6"/>
    </row>
    <row r="604">
      <c r="B604" s="29"/>
      <c r="C604" s="6"/>
    </row>
    <row r="605">
      <c r="B605" s="29"/>
      <c r="C605" s="6"/>
    </row>
    <row r="606">
      <c r="B606" s="29"/>
      <c r="C606" s="6"/>
    </row>
    <row r="607">
      <c r="B607" s="29"/>
      <c r="C607" s="6"/>
    </row>
    <row r="608">
      <c r="B608" s="29"/>
      <c r="C608" s="6"/>
    </row>
    <row r="609">
      <c r="B609" s="29"/>
      <c r="C609" s="6"/>
    </row>
    <row r="610">
      <c r="B610" s="29"/>
      <c r="C610" s="6"/>
    </row>
    <row r="611">
      <c r="B611" s="29"/>
      <c r="C611" s="6"/>
    </row>
    <row r="612">
      <c r="B612" s="29"/>
      <c r="C612" s="6"/>
    </row>
    <row r="613">
      <c r="B613" s="29"/>
      <c r="C613" s="6"/>
    </row>
    <row r="614">
      <c r="B614" s="29"/>
      <c r="C614" s="6"/>
    </row>
    <row r="615">
      <c r="B615" s="29"/>
      <c r="C615" s="6"/>
    </row>
    <row r="616">
      <c r="B616" s="29"/>
      <c r="C616" s="6"/>
    </row>
    <row r="617">
      <c r="B617" s="29"/>
      <c r="C617" s="6"/>
    </row>
    <row r="618">
      <c r="B618" s="29"/>
      <c r="C618" s="6"/>
    </row>
    <row r="619">
      <c r="B619" s="29"/>
      <c r="C619" s="6"/>
    </row>
    <row r="620">
      <c r="B620" s="29"/>
      <c r="C620" s="6"/>
    </row>
    <row r="621">
      <c r="B621" s="29"/>
      <c r="C621" s="6"/>
    </row>
    <row r="622">
      <c r="B622" s="29"/>
      <c r="C622" s="6"/>
    </row>
    <row r="623">
      <c r="B623" s="29"/>
      <c r="C623" s="6"/>
    </row>
    <row r="624">
      <c r="B624" s="29"/>
      <c r="C624" s="6"/>
    </row>
    <row r="625">
      <c r="B625" s="29"/>
      <c r="C625" s="6"/>
    </row>
    <row r="626">
      <c r="B626" s="29"/>
      <c r="C626" s="6"/>
    </row>
    <row r="627">
      <c r="B627" s="29"/>
      <c r="C627" s="6"/>
    </row>
    <row r="628">
      <c r="B628" s="29"/>
      <c r="C628" s="6"/>
    </row>
    <row r="629">
      <c r="B629" s="29"/>
      <c r="C629" s="6"/>
    </row>
    <row r="630">
      <c r="B630" s="29"/>
      <c r="C630" s="6"/>
    </row>
    <row r="631">
      <c r="B631" s="29"/>
      <c r="C631" s="6"/>
    </row>
    <row r="632">
      <c r="B632" s="29"/>
      <c r="C632" s="6"/>
    </row>
    <row r="633">
      <c r="B633" s="29"/>
      <c r="C633" s="6"/>
    </row>
    <row r="634">
      <c r="B634" s="29"/>
      <c r="C634" s="6"/>
    </row>
    <row r="635">
      <c r="B635" s="29"/>
      <c r="C635" s="6"/>
    </row>
    <row r="636">
      <c r="B636" s="29"/>
      <c r="C636" s="6"/>
    </row>
    <row r="637">
      <c r="B637" s="29"/>
      <c r="C637" s="6"/>
    </row>
    <row r="638">
      <c r="B638" s="29"/>
      <c r="C638" s="6"/>
    </row>
    <row r="639">
      <c r="B639" s="29"/>
      <c r="C639" s="6"/>
    </row>
    <row r="640">
      <c r="B640" s="29"/>
      <c r="C640" s="6"/>
    </row>
    <row r="641">
      <c r="B641" s="29"/>
      <c r="C641" s="6"/>
    </row>
    <row r="642">
      <c r="B642" s="29"/>
      <c r="C642" s="6"/>
    </row>
    <row r="643">
      <c r="B643" s="29"/>
      <c r="C643" s="6"/>
    </row>
    <row r="644">
      <c r="B644" s="29"/>
      <c r="C644" s="6"/>
    </row>
    <row r="645">
      <c r="B645" s="29"/>
      <c r="C645" s="6"/>
    </row>
    <row r="646">
      <c r="B646" s="29"/>
      <c r="C646" s="6"/>
    </row>
    <row r="647">
      <c r="B647" s="29"/>
      <c r="C647" s="6"/>
    </row>
    <row r="648">
      <c r="B648" s="29"/>
      <c r="C648" s="6"/>
    </row>
    <row r="649">
      <c r="B649" s="29"/>
      <c r="C649" s="6"/>
    </row>
    <row r="650">
      <c r="B650" s="29"/>
      <c r="C650" s="6"/>
    </row>
    <row r="651">
      <c r="B651" s="29"/>
      <c r="C651" s="6"/>
    </row>
    <row r="652">
      <c r="B652" s="29"/>
      <c r="C652" s="6"/>
    </row>
    <row r="653">
      <c r="B653" s="29"/>
      <c r="C653" s="6"/>
    </row>
    <row r="654">
      <c r="B654" s="29"/>
      <c r="C654" s="6"/>
    </row>
    <row r="655">
      <c r="B655" s="29"/>
      <c r="C655" s="6"/>
    </row>
    <row r="656">
      <c r="B656" s="29"/>
      <c r="C656" s="6"/>
    </row>
    <row r="657">
      <c r="B657" s="29"/>
      <c r="C657" s="6"/>
    </row>
    <row r="658">
      <c r="B658" s="29"/>
      <c r="C658" s="6"/>
    </row>
    <row r="659">
      <c r="B659" s="29"/>
      <c r="C659" s="6"/>
    </row>
    <row r="660">
      <c r="B660" s="29"/>
      <c r="C660" s="6"/>
    </row>
    <row r="661">
      <c r="B661" s="29"/>
      <c r="C661" s="6"/>
    </row>
    <row r="662">
      <c r="B662" s="29"/>
      <c r="C662" s="6"/>
    </row>
    <row r="663">
      <c r="B663" s="29"/>
      <c r="C663" s="6"/>
    </row>
    <row r="664">
      <c r="B664" s="29"/>
      <c r="C664" s="6"/>
    </row>
    <row r="665">
      <c r="B665" s="29"/>
      <c r="C665" s="6"/>
    </row>
    <row r="666">
      <c r="B666" s="29"/>
      <c r="C666" s="6"/>
    </row>
    <row r="667">
      <c r="B667" s="29"/>
      <c r="C667" s="6"/>
    </row>
    <row r="668">
      <c r="B668" s="29"/>
      <c r="C668" s="6"/>
    </row>
    <row r="669">
      <c r="B669" s="29"/>
      <c r="C669" s="6"/>
    </row>
    <row r="670">
      <c r="B670" s="29"/>
      <c r="C670" s="6"/>
    </row>
    <row r="671">
      <c r="B671" s="29"/>
      <c r="C671" s="6"/>
    </row>
    <row r="672">
      <c r="B672" s="29"/>
      <c r="C672" s="6"/>
    </row>
    <row r="673">
      <c r="B673" s="29"/>
      <c r="C673" s="6"/>
    </row>
    <row r="674">
      <c r="B674" s="29"/>
      <c r="C674" s="6"/>
    </row>
    <row r="675">
      <c r="B675" s="29"/>
      <c r="C675" s="6"/>
    </row>
    <row r="676">
      <c r="B676" s="29"/>
      <c r="C676" s="6"/>
    </row>
    <row r="677">
      <c r="B677" s="29"/>
      <c r="C677" s="6"/>
    </row>
    <row r="678">
      <c r="B678" s="29"/>
      <c r="C678" s="6"/>
    </row>
    <row r="679">
      <c r="B679" s="29"/>
      <c r="C679" s="6"/>
    </row>
    <row r="680">
      <c r="B680" s="29"/>
      <c r="C680" s="6"/>
    </row>
    <row r="681">
      <c r="B681" s="29"/>
      <c r="C681" s="6"/>
    </row>
    <row r="682">
      <c r="B682" s="29"/>
      <c r="C682" s="6"/>
    </row>
    <row r="683">
      <c r="B683" s="29"/>
      <c r="C683" s="6"/>
    </row>
    <row r="684">
      <c r="B684" s="29"/>
      <c r="C684" s="6"/>
    </row>
    <row r="685">
      <c r="B685" s="29"/>
      <c r="C685" s="6"/>
    </row>
    <row r="686">
      <c r="B686" s="29"/>
      <c r="C686" s="6"/>
    </row>
    <row r="687">
      <c r="B687" s="29"/>
      <c r="C687" s="6"/>
    </row>
    <row r="688">
      <c r="B688" s="29"/>
      <c r="C688" s="6"/>
    </row>
    <row r="689">
      <c r="B689" s="29"/>
      <c r="C689" s="6"/>
    </row>
    <row r="690">
      <c r="B690" s="29"/>
      <c r="C690" s="6"/>
    </row>
    <row r="691">
      <c r="B691" s="29"/>
      <c r="C691" s="6"/>
    </row>
    <row r="692">
      <c r="B692" s="29"/>
      <c r="C692" s="6"/>
    </row>
    <row r="693">
      <c r="B693" s="29"/>
      <c r="C693" s="6"/>
    </row>
    <row r="694">
      <c r="B694" s="29"/>
      <c r="C694" s="6"/>
    </row>
    <row r="695">
      <c r="B695" s="29"/>
      <c r="C695" s="6"/>
    </row>
    <row r="696">
      <c r="B696" s="29"/>
      <c r="C696" s="6"/>
    </row>
    <row r="697">
      <c r="B697" s="29"/>
      <c r="C697" s="6"/>
    </row>
    <row r="698">
      <c r="B698" s="29"/>
      <c r="C698" s="6"/>
    </row>
    <row r="699">
      <c r="B699" s="29"/>
      <c r="C699" s="6"/>
    </row>
    <row r="700">
      <c r="B700" s="29"/>
      <c r="C700" s="6"/>
    </row>
    <row r="701">
      <c r="B701" s="29"/>
      <c r="C701" s="6"/>
    </row>
    <row r="702">
      <c r="B702" s="29"/>
      <c r="C702" s="6"/>
    </row>
    <row r="703">
      <c r="B703" s="29"/>
      <c r="C703" s="6"/>
    </row>
    <row r="704">
      <c r="B704" s="29"/>
      <c r="C704" s="6"/>
    </row>
    <row r="705">
      <c r="B705" s="29"/>
      <c r="C705" s="6"/>
    </row>
    <row r="706">
      <c r="B706" s="29"/>
      <c r="C706" s="6"/>
    </row>
    <row r="707">
      <c r="B707" s="29"/>
      <c r="C707" s="6"/>
    </row>
    <row r="708">
      <c r="B708" s="29"/>
      <c r="C708" s="6"/>
    </row>
    <row r="709">
      <c r="B709" s="29"/>
      <c r="C709" s="6"/>
    </row>
    <row r="710">
      <c r="B710" s="29"/>
      <c r="C710" s="6"/>
    </row>
    <row r="711">
      <c r="B711" s="29"/>
      <c r="C711" s="6"/>
    </row>
    <row r="712">
      <c r="B712" s="29"/>
      <c r="C712" s="6"/>
    </row>
    <row r="713">
      <c r="B713" s="29"/>
      <c r="C713" s="6"/>
    </row>
    <row r="714">
      <c r="B714" s="29"/>
      <c r="C714" s="6"/>
    </row>
    <row r="715">
      <c r="B715" s="29"/>
      <c r="C715" s="6"/>
    </row>
    <row r="716">
      <c r="B716" s="29"/>
      <c r="C716" s="6"/>
    </row>
    <row r="717">
      <c r="B717" s="29"/>
      <c r="C717" s="6"/>
    </row>
    <row r="718">
      <c r="B718" s="29"/>
      <c r="C718" s="6"/>
    </row>
    <row r="719">
      <c r="B719" s="29"/>
      <c r="C719" s="6"/>
    </row>
    <row r="720">
      <c r="B720" s="29"/>
      <c r="C720" s="6"/>
    </row>
    <row r="721">
      <c r="B721" s="29"/>
      <c r="C721" s="6"/>
    </row>
    <row r="722">
      <c r="B722" s="29"/>
      <c r="C722" s="6"/>
    </row>
    <row r="723">
      <c r="B723" s="29"/>
      <c r="C723" s="6"/>
    </row>
    <row r="724">
      <c r="B724" s="29"/>
      <c r="C724" s="6"/>
    </row>
    <row r="725">
      <c r="B725" s="29"/>
      <c r="C725" s="6"/>
    </row>
    <row r="726">
      <c r="B726" s="29"/>
      <c r="C726" s="6"/>
    </row>
    <row r="727">
      <c r="B727" s="29"/>
      <c r="C727" s="6"/>
    </row>
    <row r="728">
      <c r="B728" s="29"/>
      <c r="C728" s="6"/>
    </row>
    <row r="729">
      <c r="B729" s="29"/>
      <c r="C729" s="6"/>
    </row>
    <row r="730">
      <c r="B730" s="29"/>
      <c r="C730" s="6"/>
    </row>
    <row r="731">
      <c r="B731" s="29"/>
      <c r="C731" s="6"/>
    </row>
    <row r="732">
      <c r="B732" s="29"/>
      <c r="C732" s="6"/>
    </row>
    <row r="733">
      <c r="B733" s="29"/>
      <c r="C733" s="6"/>
    </row>
    <row r="734">
      <c r="B734" s="29"/>
      <c r="C734" s="6"/>
    </row>
    <row r="735">
      <c r="B735" s="29"/>
      <c r="C735" s="6"/>
    </row>
    <row r="736">
      <c r="B736" s="29"/>
      <c r="C736" s="6"/>
    </row>
    <row r="737">
      <c r="B737" s="29"/>
      <c r="C737" s="6"/>
    </row>
    <row r="738">
      <c r="B738" s="29"/>
      <c r="C738" s="6"/>
    </row>
    <row r="739">
      <c r="B739" s="29"/>
      <c r="C739" s="6"/>
    </row>
    <row r="740">
      <c r="B740" s="29"/>
      <c r="C740" s="6"/>
    </row>
    <row r="741">
      <c r="B741" s="29"/>
      <c r="C741" s="6"/>
    </row>
    <row r="742">
      <c r="B742" s="29"/>
      <c r="C742" s="6"/>
    </row>
    <row r="743">
      <c r="B743" s="29"/>
      <c r="C743" s="6"/>
    </row>
    <row r="744">
      <c r="B744" s="29"/>
      <c r="C744" s="6"/>
    </row>
    <row r="745">
      <c r="B745" s="29"/>
      <c r="C745" s="6"/>
    </row>
    <row r="746">
      <c r="B746" s="29"/>
      <c r="C746" s="6"/>
    </row>
    <row r="747">
      <c r="B747" s="29"/>
      <c r="C747" s="6"/>
    </row>
    <row r="748">
      <c r="B748" s="29"/>
      <c r="C748" s="6"/>
    </row>
    <row r="749">
      <c r="B749" s="29"/>
      <c r="C749" s="6"/>
    </row>
    <row r="750">
      <c r="B750" s="29"/>
      <c r="C750" s="6"/>
    </row>
    <row r="751">
      <c r="B751" s="29"/>
      <c r="C751" s="6"/>
    </row>
    <row r="752">
      <c r="B752" s="29"/>
      <c r="C752" s="6"/>
    </row>
    <row r="753">
      <c r="B753" s="29"/>
      <c r="C753" s="6"/>
    </row>
    <row r="754">
      <c r="B754" s="29"/>
      <c r="C754" s="6"/>
    </row>
    <row r="755">
      <c r="B755" s="29"/>
      <c r="C755" s="6"/>
    </row>
    <row r="756">
      <c r="B756" s="29"/>
      <c r="C756" s="6"/>
    </row>
    <row r="757">
      <c r="B757" s="29"/>
      <c r="C757" s="6"/>
    </row>
    <row r="758">
      <c r="B758" s="29"/>
      <c r="C758" s="6"/>
    </row>
    <row r="759">
      <c r="B759" s="29"/>
      <c r="C759" s="6"/>
    </row>
    <row r="760">
      <c r="B760" s="29"/>
      <c r="C760" s="6"/>
    </row>
    <row r="761">
      <c r="B761" s="29"/>
      <c r="C761" s="6"/>
    </row>
    <row r="762">
      <c r="B762" s="29"/>
      <c r="C762" s="6"/>
    </row>
    <row r="763">
      <c r="B763" s="29"/>
      <c r="C763" s="6"/>
    </row>
    <row r="764">
      <c r="B764" s="29"/>
      <c r="C764" s="6"/>
    </row>
    <row r="765">
      <c r="B765" s="29"/>
      <c r="C765" s="6"/>
    </row>
    <row r="766">
      <c r="B766" s="29"/>
      <c r="C766" s="6"/>
    </row>
    <row r="767">
      <c r="B767" s="29"/>
      <c r="C767" s="6"/>
    </row>
    <row r="768">
      <c r="B768" s="29"/>
      <c r="C768" s="6"/>
    </row>
    <row r="769">
      <c r="B769" s="29"/>
      <c r="C769" s="6"/>
    </row>
    <row r="770">
      <c r="B770" s="29"/>
      <c r="C770" s="6"/>
    </row>
    <row r="771">
      <c r="B771" s="29"/>
      <c r="C771" s="6"/>
    </row>
    <row r="772">
      <c r="B772" s="29"/>
      <c r="C772" s="6"/>
    </row>
    <row r="773">
      <c r="B773" s="29"/>
      <c r="C773" s="6"/>
    </row>
    <row r="774">
      <c r="B774" s="29"/>
      <c r="C774" s="6"/>
    </row>
    <row r="775">
      <c r="B775" s="29"/>
      <c r="C775" s="6"/>
    </row>
    <row r="776">
      <c r="B776" s="29"/>
      <c r="C776" s="6"/>
    </row>
    <row r="777">
      <c r="B777" s="29"/>
      <c r="C777" s="6"/>
    </row>
    <row r="778">
      <c r="B778" s="29"/>
      <c r="C778" s="6"/>
    </row>
    <row r="779">
      <c r="B779" s="29"/>
      <c r="C779" s="6"/>
    </row>
    <row r="780">
      <c r="B780" s="29"/>
      <c r="C780" s="6"/>
    </row>
    <row r="781">
      <c r="B781" s="29"/>
      <c r="C781" s="6"/>
    </row>
    <row r="782">
      <c r="B782" s="29"/>
      <c r="C782" s="6"/>
    </row>
    <row r="783">
      <c r="B783" s="29"/>
      <c r="C783" s="6"/>
    </row>
    <row r="784">
      <c r="B784" s="29"/>
      <c r="C784" s="6"/>
    </row>
    <row r="785">
      <c r="B785" s="29"/>
      <c r="C785" s="6"/>
    </row>
    <row r="786">
      <c r="B786" s="29"/>
      <c r="C786" s="6"/>
    </row>
    <row r="787">
      <c r="B787" s="29"/>
      <c r="C787" s="6"/>
    </row>
    <row r="788">
      <c r="B788" s="29"/>
      <c r="C788" s="6"/>
    </row>
    <row r="789">
      <c r="B789" s="29"/>
      <c r="C789" s="6"/>
    </row>
    <row r="790">
      <c r="B790" s="29"/>
      <c r="C790" s="6"/>
    </row>
    <row r="791">
      <c r="B791" s="29"/>
      <c r="C791" s="6"/>
    </row>
    <row r="792">
      <c r="B792" s="29"/>
      <c r="C792" s="6"/>
    </row>
    <row r="793">
      <c r="B793" s="29"/>
      <c r="C793" s="6"/>
    </row>
    <row r="794">
      <c r="B794" s="29"/>
      <c r="C794" s="6"/>
    </row>
    <row r="795">
      <c r="B795" s="29"/>
      <c r="C795" s="6"/>
    </row>
    <row r="796">
      <c r="B796" s="29"/>
      <c r="C796" s="6"/>
    </row>
    <row r="797">
      <c r="B797" s="29"/>
      <c r="C797" s="6"/>
    </row>
    <row r="798">
      <c r="B798" s="29"/>
      <c r="C798" s="6"/>
    </row>
    <row r="799">
      <c r="B799" s="29"/>
      <c r="C799" s="6"/>
    </row>
    <row r="800">
      <c r="B800" s="29"/>
      <c r="C800" s="6"/>
    </row>
    <row r="801">
      <c r="B801" s="29"/>
      <c r="C801" s="6"/>
    </row>
    <row r="802">
      <c r="B802" s="29"/>
      <c r="C802" s="6"/>
    </row>
    <row r="803">
      <c r="B803" s="29"/>
      <c r="C803" s="6"/>
    </row>
    <row r="804">
      <c r="B804" s="29"/>
      <c r="C804" s="6"/>
    </row>
    <row r="805">
      <c r="B805" s="29"/>
      <c r="C805" s="6"/>
    </row>
    <row r="806">
      <c r="B806" s="29"/>
      <c r="C806" s="6"/>
    </row>
    <row r="807">
      <c r="B807" s="29"/>
      <c r="C807" s="6"/>
    </row>
    <row r="808">
      <c r="B808" s="29"/>
      <c r="C808" s="6"/>
    </row>
    <row r="809">
      <c r="B809" s="29"/>
      <c r="C809" s="6"/>
    </row>
    <row r="810">
      <c r="B810" s="29"/>
      <c r="C810" s="6"/>
    </row>
    <row r="811">
      <c r="B811" s="29"/>
      <c r="C811" s="6"/>
    </row>
    <row r="812">
      <c r="B812" s="29"/>
      <c r="C812" s="6"/>
    </row>
    <row r="813">
      <c r="B813" s="29"/>
      <c r="C813" s="6"/>
    </row>
    <row r="814">
      <c r="B814" s="29"/>
      <c r="C814" s="6"/>
    </row>
    <row r="815">
      <c r="B815" s="29"/>
      <c r="C815" s="6"/>
    </row>
    <row r="816">
      <c r="B816" s="29"/>
      <c r="C816" s="6"/>
    </row>
    <row r="817">
      <c r="B817" s="29"/>
      <c r="C817" s="6"/>
    </row>
    <row r="818">
      <c r="B818" s="29"/>
      <c r="C818" s="6"/>
    </row>
    <row r="819">
      <c r="B819" s="29"/>
      <c r="C819" s="6"/>
    </row>
    <row r="820">
      <c r="B820" s="29"/>
      <c r="C820" s="6"/>
    </row>
    <row r="821">
      <c r="B821" s="29"/>
      <c r="C821" s="6"/>
    </row>
    <row r="822">
      <c r="B822" s="29"/>
      <c r="C822" s="6"/>
    </row>
    <row r="823">
      <c r="B823" s="29"/>
      <c r="C823" s="6"/>
    </row>
    <row r="824">
      <c r="B824" s="29"/>
      <c r="C824" s="6"/>
    </row>
    <row r="825">
      <c r="B825" s="29"/>
      <c r="C825" s="6"/>
    </row>
    <row r="826">
      <c r="B826" s="29"/>
      <c r="C826" s="6"/>
    </row>
    <row r="827">
      <c r="B827" s="29"/>
      <c r="C827" s="6"/>
    </row>
    <row r="828">
      <c r="B828" s="29"/>
      <c r="C828" s="6"/>
    </row>
    <row r="829">
      <c r="B829" s="29"/>
      <c r="C829" s="6"/>
    </row>
    <row r="830">
      <c r="B830" s="29"/>
      <c r="C830" s="6"/>
    </row>
    <row r="831">
      <c r="B831" s="29"/>
      <c r="C831" s="6"/>
    </row>
    <row r="832">
      <c r="B832" s="29"/>
      <c r="C832" s="6"/>
    </row>
    <row r="833">
      <c r="B833" s="29"/>
      <c r="C833" s="6"/>
    </row>
    <row r="834">
      <c r="B834" s="29"/>
      <c r="C834" s="6"/>
    </row>
    <row r="835">
      <c r="B835" s="29"/>
      <c r="C835" s="6"/>
    </row>
    <row r="836">
      <c r="B836" s="29"/>
      <c r="C836" s="6"/>
    </row>
    <row r="837">
      <c r="B837" s="29"/>
      <c r="C837" s="6"/>
    </row>
    <row r="838">
      <c r="B838" s="29"/>
      <c r="C838" s="6"/>
    </row>
    <row r="839">
      <c r="B839" s="29"/>
      <c r="C839" s="6"/>
    </row>
    <row r="840">
      <c r="B840" s="29"/>
      <c r="C840" s="6"/>
    </row>
    <row r="841">
      <c r="B841" s="29"/>
      <c r="C841" s="6"/>
    </row>
    <row r="842">
      <c r="B842" s="29"/>
      <c r="C842" s="6"/>
    </row>
    <row r="843">
      <c r="B843" s="29"/>
      <c r="C843" s="6"/>
    </row>
    <row r="844">
      <c r="B844" s="29"/>
      <c r="C844" s="6"/>
    </row>
    <row r="845">
      <c r="B845" s="29"/>
      <c r="C845" s="6"/>
    </row>
    <row r="846">
      <c r="B846" s="29"/>
      <c r="C846" s="6"/>
    </row>
    <row r="847">
      <c r="B847" s="29"/>
      <c r="C847" s="6"/>
    </row>
    <row r="848">
      <c r="B848" s="29"/>
      <c r="C848" s="6"/>
    </row>
    <row r="849">
      <c r="B849" s="29"/>
      <c r="C849" s="6"/>
    </row>
    <row r="850">
      <c r="B850" s="29"/>
      <c r="C850" s="6"/>
    </row>
    <row r="851">
      <c r="B851" s="29"/>
      <c r="C851" s="6"/>
    </row>
    <row r="852">
      <c r="B852" s="29"/>
      <c r="C852" s="6"/>
    </row>
    <row r="853">
      <c r="B853" s="29"/>
      <c r="C853" s="6"/>
    </row>
    <row r="854">
      <c r="B854" s="29"/>
      <c r="C854" s="6"/>
    </row>
    <row r="855">
      <c r="B855" s="29"/>
      <c r="C855" s="6"/>
    </row>
    <row r="856">
      <c r="B856" s="29"/>
      <c r="C856" s="6"/>
    </row>
    <row r="857">
      <c r="B857" s="29"/>
      <c r="C857" s="6"/>
    </row>
    <row r="858">
      <c r="B858" s="29"/>
      <c r="C858" s="6"/>
    </row>
    <row r="859">
      <c r="B859" s="29"/>
      <c r="C859" s="6"/>
    </row>
    <row r="860">
      <c r="B860" s="29"/>
      <c r="C860" s="6"/>
    </row>
    <row r="861">
      <c r="B861" s="29"/>
      <c r="C861" s="6"/>
    </row>
    <row r="862">
      <c r="B862" s="29"/>
      <c r="C862" s="6"/>
    </row>
    <row r="863">
      <c r="B863" s="29"/>
      <c r="C863" s="6"/>
    </row>
    <row r="864">
      <c r="B864" s="29"/>
      <c r="C864" s="6"/>
    </row>
    <row r="865">
      <c r="B865" s="29"/>
      <c r="C865" s="6"/>
    </row>
    <row r="866">
      <c r="B866" s="29"/>
      <c r="C866" s="6"/>
    </row>
    <row r="867">
      <c r="B867" s="29"/>
      <c r="C867" s="6"/>
    </row>
    <row r="868">
      <c r="B868" s="29"/>
      <c r="C868" s="6"/>
    </row>
    <row r="869">
      <c r="B869" s="29"/>
      <c r="C869" s="6"/>
    </row>
    <row r="870">
      <c r="B870" s="29"/>
      <c r="C870" s="6"/>
    </row>
    <row r="871">
      <c r="B871" s="29"/>
      <c r="C871" s="6"/>
    </row>
    <row r="872">
      <c r="B872" s="29"/>
      <c r="C872" s="6"/>
    </row>
    <row r="873">
      <c r="B873" s="29"/>
      <c r="C873" s="6"/>
    </row>
    <row r="874">
      <c r="B874" s="29"/>
      <c r="C874" s="6"/>
    </row>
    <row r="875">
      <c r="B875" s="29"/>
      <c r="C875" s="6"/>
    </row>
    <row r="876">
      <c r="B876" s="29"/>
      <c r="C876" s="6"/>
    </row>
    <row r="877">
      <c r="B877" s="29"/>
      <c r="C877" s="6"/>
    </row>
    <row r="878">
      <c r="B878" s="29"/>
      <c r="C878" s="6"/>
    </row>
    <row r="879">
      <c r="B879" s="29"/>
      <c r="C879" s="6"/>
    </row>
    <row r="880">
      <c r="B880" s="29"/>
      <c r="C880" s="6"/>
    </row>
    <row r="881">
      <c r="B881" s="29"/>
      <c r="C881" s="6"/>
    </row>
    <row r="882">
      <c r="B882" s="29"/>
      <c r="C882" s="6"/>
    </row>
    <row r="883">
      <c r="B883" s="29"/>
      <c r="C883" s="6"/>
    </row>
    <row r="884">
      <c r="B884" s="29"/>
      <c r="C884" s="6"/>
    </row>
    <row r="885">
      <c r="B885" s="29"/>
      <c r="C885" s="6"/>
    </row>
    <row r="886">
      <c r="B886" s="29"/>
      <c r="C886" s="6"/>
    </row>
    <row r="887">
      <c r="B887" s="29"/>
      <c r="C887" s="6"/>
    </row>
    <row r="888">
      <c r="B888" s="29"/>
      <c r="C888" s="6"/>
    </row>
    <row r="889">
      <c r="B889" s="29"/>
      <c r="C889" s="6"/>
    </row>
    <row r="890">
      <c r="B890" s="29"/>
      <c r="C890" s="6"/>
    </row>
    <row r="891">
      <c r="B891" s="29"/>
      <c r="C891" s="6"/>
    </row>
    <row r="892">
      <c r="B892" s="29"/>
      <c r="C892" s="6"/>
    </row>
    <row r="893">
      <c r="B893" s="29"/>
      <c r="C893" s="6"/>
    </row>
    <row r="894">
      <c r="B894" s="29"/>
      <c r="C894" s="6"/>
    </row>
    <row r="895">
      <c r="B895" s="29"/>
      <c r="C895" s="6"/>
    </row>
    <row r="896">
      <c r="B896" s="29"/>
      <c r="C896" s="6"/>
    </row>
    <row r="897">
      <c r="B897" s="29"/>
      <c r="C897" s="6"/>
    </row>
    <row r="898">
      <c r="B898" s="29"/>
      <c r="C898" s="6"/>
    </row>
    <row r="899">
      <c r="B899" s="29"/>
      <c r="C899" s="6"/>
    </row>
    <row r="900">
      <c r="B900" s="29"/>
      <c r="C900" s="6"/>
    </row>
    <row r="901">
      <c r="B901" s="29"/>
      <c r="C901" s="6"/>
    </row>
    <row r="902">
      <c r="B902" s="29"/>
      <c r="C902" s="6"/>
    </row>
    <row r="903">
      <c r="B903" s="29"/>
      <c r="C903" s="6"/>
    </row>
    <row r="904">
      <c r="B904" s="29"/>
      <c r="C904" s="6"/>
    </row>
    <row r="905">
      <c r="B905" s="29"/>
      <c r="C905" s="6"/>
    </row>
    <row r="906">
      <c r="B906" s="29"/>
      <c r="C906" s="6"/>
    </row>
    <row r="907">
      <c r="B907" s="29"/>
      <c r="C907" s="6"/>
    </row>
    <row r="908">
      <c r="B908" s="29"/>
      <c r="C908" s="6"/>
    </row>
    <row r="909">
      <c r="B909" s="29"/>
      <c r="C909" s="6"/>
    </row>
    <row r="910">
      <c r="B910" s="29"/>
      <c r="C910" s="6"/>
    </row>
    <row r="911">
      <c r="B911" s="29"/>
      <c r="C911" s="6"/>
    </row>
    <row r="912">
      <c r="B912" s="29"/>
      <c r="C912" s="6"/>
    </row>
    <row r="913">
      <c r="B913" s="29"/>
      <c r="C913" s="6"/>
    </row>
    <row r="914">
      <c r="B914" s="29"/>
      <c r="C914" s="6"/>
    </row>
    <row r="915">
      <c r="B915" s="29"/>
      <c r="C915" s="6"/>
    </row>
    <row r="916">
      <c r="B916" s="29"/>
      <c r="C916" s="6"/>
    </row>
    <row r="917">
      <c r="B917" s="29"/>
      <c r="C917" s="6"/>
    </row>
    <row r="918">
      <c r="B918" s="29"/>
      <c r="C918" s="6"/>
    </row>
    <row r="919">
      <c r="B919" s="29"/>
      <c r="C919" s="6"/>
    </row>
    <row r="920">
      <c r="B920" s="29"/>
      <c r="C920" s="6"/>
    </row>
    <row r="921">
      <c r="B921" s="29"/>
      <c r="C921" s="6"/>
    </row>
    <row r="922">
      <c r="B922" s="29"/>
      <c r="C922" s="6"/>
    </row>
    <row r="923">
      <c r="B923" s="29"/>
      <c r="C923" s="6"/>
    </row>
    <row r="924">
      <c r="B924" s="29"/>
      <c r="C924" s="6"/>
    </row>
    <row r="925">
      <c r="B925" s="29"/>
      <c r="C925" s="6"/>
    </row>
    <row r="926">
      <c r="B926" s="29"/>
      <c r="C926" s="6"/>
    </row>
    <row r="927">
      <c r="B927" s="29"/>
      <c r="C927" s="6"/>
    </row>
    <row r="928">
      <c r="B928" s="29"/>
      <c r="C928" s="6"/>
    </row>
    <row r="929">
      <c r="B929" s="29"/>
      <c r="C929" s="6"/>
    </row>
    <row r="930">
      <c r="B930" s="29"/>
      <c r="C930" s="6"/>
    </row>
    <row r="931">
      <c r="B931" s="29"/>
      <c r="C931" s="6"/>
    </row>
    <row r="932">
      <c r="B932" s="29"/>
      <c r="C932" s="6"/>
    </row>
    <row r="933">
      <c r="B933" s="29"/>
      <c r="C933" s="6"/>
    </row>
    <row r="934">
      <c r="B934" s="29"/>
      <c r="C934" s="6"/>
    </row>
    <row r="935">
      <c r="B935" s="29"/>
      <c r="C935" s="6"/>
    </row>
    <row r="936">
      <c r="B936" s="29"/>
      <c r="C936" s="6"/>
    </row>
    <row r="937">
      <c r="B937" s="29"/>
      <c r="C937" s="6"/>
    </row>
    <row r="938">
      <c r="B938" s="29"/>
      <c r="C938" s="6"/>
    </row>
    <row r="939">
      <c r="B939" s="29"/>
      <c r="C939" s="6"/>
    </row>
    <row r="940">
      <c r="B940" s="29"/>
      <c r="C940" s="6"/>
    </row>
    <row r="941">
      <c r="B941" s="29"/>
      <c r="C941" s="6"/>
    </row>
    <row r="942">
      <c r="B942" s="29"/>
      <c r="C942" s="6"/>
    </row>
    <row r="943">
      <c r="B943" s="29"/>
      <c r="C943" s="6"/>
    </row>
    <row r="944">
      <c r="B944" s="29"/>
      <c r="C944" s="6"/>
    </row>
    <row r="945">
      <c r="B945" s="29"/>
      <c r="C945" s="6"/>
    </row>
    <row r="946">
      <c r="B946" s="29"/>
      <c r="C946" s="6"/>
    </row>
    <row r="947">
      <c r="B947" s="29"/>
      <c r="C947" s="6"/>
    </row>
    <row r="948">
      <c r="B948" s="29"/>
      <c r="C948" s="6"/>
    </row>
    <row r="949">
      <c r="B949" s="29"/>
      <c r="C949" s="6"/>
    </row>
    <row r="950">
      <c r="B950" s="29"/>
      <c r="C950" s="6"/>
    </row>
    <row r="951">
      <c r="B951" s="29"/>
      <c r="C951" s="6"/>
    </row>
    <row r="952">
      <c r="B952" s="29"/>
      <c r="C952" s="6"/>
    </row>
    <row r="953">
      <c r="B953" s="29"/>
      <c r="C953" s="6"/>
    </row>
    <row r="954">
      <c r="B954" s="29"/>
      <c r="C954" s="6"/>
    </row>
    <row r="955">
      <c r="B955" s="29"/>
      <c r="C955" s="6"/>
    </row>
    <row r="956">
      <c r="B956" s="29"/>
      <c r="C956" s="6"/>
    </row>
    <row r="957">
      <c r="B957" s="29"/>
      <c r="C957" s="6"/>
    </row>
    <row r="958">
      <c r="B958" s="29"/>
      <c r="C958" s="6"/>
    </row>
    <row r="959">
      <c r="B959" s="29"/>
      <c r="C959" s="6"/>
    </row>
    <row r="960">
      <c r="B960" s="29"/>
      <c r="C960" s="6"/>
    </row>
    <row r="961">
      <c r="B961" s="29"/>
      <c r="C961" s="6"/>
    </row>
    <row r="962">
      <c r="B962" s="29"/>
      <c r="C962" s="6"/>
    </row>
    <row r="963">
      <c r="B963" s="29"/>
      <c r="C963" s="6"/>
    </row>
    <row r="964">
      <c r="B964" s="29"/>
      <c r="C964" s="6"/>
    </row>
    <row r="965">
      <c r="B965" s="29"/>
      <c r="C965" s="6"/>
    </row>
    <row r="966">
      <c r="B966" s="29"/>
      <c r="C966" s="6"/>
    </row>
    <row r="967">
      <c r="B967" s="29"/>
      <c r="C967" s="6"/>
    </row>
    <row r="968">
      <c r="B968" s="29"/>
      <c r="C968" s="6"/>
    </row>
    <row r="969">
      <c r="B969" s="29"/>
      <c r="C969" s="6"/>
    </row>
    <row r="970">
      <c r="B970" s="29"/>
      <c r="C970" s="6"/>
    </row>
    <row r="971">
      <c r="B971" s="29"/>
      <c r="C971" s="6"/>
    </row>
    <row r="972">
      <c r="B972" s="29"/>
      <c r="C972" s="6"/>
    </row>
    <row r="973">
      <c r="B973" s="29"/>
      <c r="C973" s="6"/>
    </row>
    <row r="974">
      <c r="B974" s="29"/>
      <c r="C974" s="6"/>
    </row>
    <row r="975">
      <c r="B975" s="29"/>
      <c r="C975" s="6"/>
    </row>
    <row r="976">
      <c r="B976" s="29"/>
      <c r="C976" s="6"/>
    </row>
    <row r="977">
      <c r="B977" s="29"/>
      <c r="C977" s="6"/>
    </row>
    <row r="978">
      <c r="B978" s="29"/>
      <c r="C978" s="6"/>
    </row>
    <row r="979">
      <c r="B979" s="29"/>
      <c r="C979" s="6"/>
    </row>
    <row r="980">
      <c r="B980" s="29"/>
      <c r="C980" s="6"/>
    </row>
    <row r="981">
      <c r="B981" s="29"/>
      <c r="C981" s="6"/>
    </row>
    <row r="982">
      <c r="B982" s="29"/>
      <c r="C982" s="6"/>
    </row>
    <row r="983">
      <c r="B983" s="29"/>
      <c r="C983" s="6"/>
    </row>
    <row r="984">
      <c r="B984" s="29"/>
      <c r="C984" s="6"/>
    </row>
    <row r="985">
      <c r="B985" s="29"/>
      <c r="C985" s="6"/>
    </row>
    <row r="986">
      <c r="B986" s="29"/>
      <c r="C986" s="6"/>
    </row>
    <row r="987">
      <c r="B987" s="29"/>
      <c r="C987" s="6"/>
    </row>
    <row r="988">
      <c r="B988" s="29"/>
      <c r="C988" s="6"/>
    </row>
    <row r="989">
      <c r="B989" s="29"/>
      <c r="C989" s="6"/>
    </row>
    <row r="990">
      <c r="B990" s="29"/>
      <c r="C990" s="6"/>
    </row>
    <row r="991">
      <c r="B991" s="29"/>
      <c r="C991" s="6"/>
    </row>
    <row r="992">
      <c r="B992" s="29"/>
      <c r="C992" s="6"/>
    </row>
    <row r="993">
      <c r="B993" s="29"/>
      <c r="C993" s="6"/>
    </row>
    <row r="994">
      <c r="B994" s="29"/>
      <c r="C994" s="6"/>
    </row>
    <row r="995">
      <c r="B995" s="29"/>
      <c r="C995" s="6"/>
    </row>
    <row r="996">
      <c r="B996" s="29"/>
      <c r="C996" s="6"/>
    </row>
    <row r="997">
      <c r="B997" s="29"/>
      <c r="C997" s="6"/>
    </row>
    <row r="998">
      <c r="B998" s="29"/>
      <c r="C998" s="6"/>
    </row>
    <row r="999">
      <c r="B999" s="29"/>
      <c r="C999" s="6"/>
    </row>
    <row r="1000">
      <c r="B1000" s="29"/>
      <c r="C1000" s="6"/>
    </row>
    <row r="1001">
      <c r="B1001" s="29"/>
      <c r="C1001" s="6"/>
    </row>
    <row r="1002">
      <c r="B1002" s="29"/>
      <c r="C1002" s="6"/>
    </row>
    <row r="1003">
      <c r="B1003" s="29"/>
      <c r="C1003" s="6"/>
    </row>
    <row r="1004">
      <c r="B1004" s="29"/>
      <c r="C1004" s="6"/>
    </row>
    <row r="1005">
      <c r="B1005" s="29"/>
      <c r="C1005" s="6"/>
    </row>
    <row r="1006">
      <c r="B1006" s="29"/>
      <c r="C1006" s="6"/>
    </row>
    <row r="1007">
      <c r="B1007" s="29"/>
      <c r="C1007" s="6"/>
    </row>
    <row r="1008">
      <c r="B1008" s="29"/>
      <c r="C1008" s="6"/>
    </row>
    <row r="1009">
      <c r="B1009" s="29"/>
      <c r="C1009" s="6"/>
    </row>
    <row r="1010">
      <c r="B1010" s="29"/>
      <c r="C1010" s="6"/>
    </row>
    <row r="1011">
      <c r="B1011" s="29"/>
      <c r="C1011" s="6"/>
    </row>
    <row r="1012">
      <c r="B1012" s="29"/>
      <c r="C1012" s="6"/>
    </row>
    <row r="1013">
      <c r="B1013" s="29"/>
      <c r="C1013" s="6"/>
    </row>
    <row r="1014">
      <c r="B1014" s="29"/>
      <c r="C1014" s="6"/>
    </row>
    <row r="1015">
      <c r="B1015" s="29"/>
      <c r="C1015" s="6"/>
    </row>
    <row r="1016">
      <c r="B1016" s="29"/>
      <c r="C1016" s="6"/>
    </row>
    <row r="1017">
      <c r="B1017" s="29"/>
      <c r="C1017" s="6"/>
    </row>
    <row r="1018">
      <c r="B1018" s="29"/>
      <c r="C1018" s="6"/>
    </row>
    <row r="1019">
      <c r="B1019" s="29"/>
      <c r="C1019" s="6"/>
    </row>
    <row r="1020">
      <c r="B1020" s="29"/>
      <c r="C1020" s="6"/>
    </row>
    <row r="1021">
      <c r="B1021" s="29"/>
      <c r="C1021" s="6"/>
    </row>
    <row r="1022">
      <c r="B1022" s="29"/>
      <c r="C1022" s="6"/>
    </row>
    <row r="1023">
      <c r="B1023" s="29"/>
      <c r="C1023" s="6"/>
    </row>
    <row r="1024">
      <c r="B1024" s="29"/>
      <c r="C1024" s="6"/>
    </row>
    <row r="1025">
      <c r="B1025" s="29"/>
      <c r="C1025" s="6"/>
    </row>
    <row r="1026">
      <c r="B1026" s="29"/>
      <c r="C1026" s="6"/>
    </row>
    <row r="1027">
      <c r="B1027" s="29"/>
      <c r="C1027" s="6"/>
    </row>
    <row r="1028">
      <c r="B1028" s="29"/>
      <c r="C1028" s="6"/>
    </row>
    <row r="1029">
      <c r="B1029" s="29"/>
      <c r="C1029" s="6"/>
    </row>
    <row r="1030">
      <c r="B1030" s="29"/>
      <c r="C1030" s="6"/>
    </row>
    <row r="1031">
      <c r="B1031" s="29"/>
      <c r="C1031" s="6"/>
    </row>
    <row r="1032">
      <c r="B1032" s="29"/>
      <c r="C1032" s="6"/>
    </row>
    <row r="1033">
      <c r="B1033" s="29"/>
      <c r="C1033" s="6"/>
    </row>
    <row r="1034">
      <c r="B1034" s="29"/>
      <c r="C1034" s="6"/>
    </row>
    <row r="1035">
      <c r="B1035" s="29"/>
      <c r="C1035" s="6"/>
    </row>
    <row r="1036">
      <c r="B1036" s="29"/>
      <c r="C1036" s="6"/>
    </row>
    <row r="1037">
      <c r="B1037" s="29"/>
      <c r="C1037" s="6"/>
    </row>
    <row r="1038">
      <c r="B1038" s="29"/>
      <c r="C1038" s="6"/>
    </row>
    <row r="1039">
      <c r="B1039" s="29"/>
      <c r="C1039" s="6"/>
    </row>
    <row r="1040">
      <c r="B1040" s="29"/>
      <c r="C1040" s="6"/>
    </row>
    <row r="1041">
      <c r="B1041" s="29"/>
      <c r="C1041" s="6"/>
    </row>
    <row r="1042">
      <c r="B1042" s="29"/>
      <c r="C1042" s="6"/>
    </row>
    <row r="1043">
      <c r="B1043" s="29"/>
      <c r="C1043" s="6"/>
    </row>
    <row r="1044">
      <c r="B1044" s="29"/>
      <c r="C1044" s="6"/>
    </row>
    <row r="1045">
      <c r="B1045" s="29"/>
      <c r="C1045" s="6"/>
    </row>
    <row r="1046">
      <c r="B1046" s="29"/>
      <c r="C1046" s="6"/>
    </row>
    <row r="1047">
      <c r="B1047" s="29"/>
      <c r="C1047" s="6"/>
    </row>
    <row r="1048">
      <c r="B1048" s="29"/>
      <c r="C1048" s="6"/>
    </row>
    <row r="1049">
      <c r="B1049" s="29"/>
      <c r="C1049" s="6"/>
    </row>
    <row r="1050">
      <c r="B1050" s="29"/>
      <c r="C1050" s="6"/>
    </row>
    <row r="1051">
      <c r="B1051" s="29"/>
      <c r="C1051" s="6"/>
    </row>
    <row r="1052">
      <c r="B1052" s="29"/>
      <c r="C1052" s="6"/>
    </row>
    <row r="1053">
      <c r="B1053" s="29"/>
      <c r="C1053" s="6"/>
    </row>
    <row r="1054">
      <c r="B1054" s="29"/>
      <c r="C1054" s="6"/>
    </row>
    <row r="1055">
      <c r="B1055" s="29"/>
      <c r="C1055" s="6"/>
    </row>
    <row r="1056">
      <c r="B1056" s="29"/>
      <c r="C1056" s="6"/>
    </row>
    <row r="1057">
      <c r="B1057" s="29"/>
      <c r="C1057" s="6"/>
    </row>
    <row r="1058">
      <c r="B1058" s="29"/>
      <c r="C1058" s="6"/>
    </row>
    <row r="1059">
      <c r="B1059" s="29"/>
      <c r="C1059" s="6"/>
    </row>
    <row r="1060">
      <c r="B1060" s="29"/>
      <c r="C1060" s="6"/>
    </row>
    <row r="1061">
      <c r="B1061" s="29"/>
      <c r="C1061" s="6"/>
    </row>
    <row r="1062">
      <c r="B1062" s="29"/>
      <c r="C1062" s="6"/>
    </row>
    <row r="1063">
      <c r="B1063" s="29"/>
      <c r="C1063" s="6"/>
    </row>
    <row r="1064">
      <c r="B1064" s="29"/>
      <c r="C1064" s="6"/>
    </row>
    <row r="1065">
      <c r="B1065" s="29"/>
      <c r="C1065" s="6"/>
    </row>
    <row r="1066">
      <c r="B1066" s="29"/>
      <c r="C1066" s="6"/>
    </row>
    <row r="1067">
      <c r="B1067" s="29"/>
      <c r="C1067" s="6"/>
    </row>
    <row r="1068">
      <c r="B1068" s="29"/>
      <c r="C1068" s="6"/>
    </row>
    <row r="1069">
      <c r="B1069" s="29"/>
      <c r="C1069" s="6"/>
    </row>
    <row r="1070">
      <c r="B1070" s="29"/>
      <c r="C1070" s="6"/>
    </row>
  </sheetData>
  <mergeCells count="42">
    <mergeCell ref="A63:B63"/>
    <mergeCell ref="A64:B64"/>
    <mergeCell ref="A66:B66"/>
    <mergeCell ref="A67:B67"/>
    <mergeCell ref="A68:B68"/>
    <mergeCell ref="A71:B71"/>
    <mergeCell ref="A51:B51"/>
    <mergeCell ref="A53:B53"/>
    <mergeCell ref="A54:B54"/>
    <mergeCell ref="A58:B58"/>
    <mergeCell ref="A59:B59"/>
    <mergeCell ref="A60:B60"/>
    <mergeCell ref="A62:B62"/>
    <mergeCell ref="A11:B11"/>
    <mergeCell ref="A12:B12"/>
    <mergeCell ref="A15:B15"/>
    <mergeCell ref="A16:B16"/>
    <mergeCell ref="A19:B19"/>
    <mergeCell ref="A20:B20"/>
    <mergeCell ref="D25:I30"/>
    <mergeCell ref="A31:B31"/>
    <mergeCell ref="A1:B1"/>
    <mergeCell ref="D2:F23"/>
    <mergeCell ref="G2:I23"/>
    <mergeCell ref="A3:B3"/>
    <mergeCell ref="A4:B4"/>
    <mergeCell ref="A7:B7"/>
    <mergeCell ref="A8:B8"/>
    <mergeCell ref="A22:B22"/>
    <mergeCell ref="A23:B23"/>
    <mergeCell ref="A25:B25"/>
    <mergeCell ref="A33:B33"/>
    <mergeCell ref="A34:B34"/>
    <mergeCell ref="A37:B37"/>
    <mergeCell ref="A38:B38"/>
    <mergeCell ref="A41:B41"/>
    <mergeCell ref="A42:B42"/>
    <mergeCell ref="A44:B44"/>
    <mergeCell ref="A45:B45"/>
    <mergeCell ref="A47:B47"/>
    <mergeCell ref="A48:B48"/>
    <mergeCell ref="A50:B50"/>
  </mergeCells>
  <conditionalFormatting sqref="A4:B4 A8:B8 A12:B12 A16:B16 B20 A23:B23 B34 B38 B42">
    <cfRule type="cellIs" dxfId="0" priority="1" operator="greaterThan">
      <formula>0</formula>
    </cfRule>
  </conditionalFormatting>
  <conditionalFormatting sqref="B76">
    <cfRule type="expression" dxfId="1" priority="2">
      <formula>B76&lt;(B75-0.01)</formula>
    </cfRule>
  </conditionalFormatting>
  <conditionalFormatting sqref="A4:B4 A8:B8 A12:B12 A16:B16 B20 A23:B23 B34 B38 B42">
    <cfRule type="cellIs" dxfId="1" priority="3" operator="lessThan">
      <formula>200</formula>
    </cfRule>
  </conditionalFormatting>
  <conditionalFormatting sqref="A25:B25">
    <cfRule type="notContainsBlanks" dxfId="2" priority="4">
      <formula>LEN(TRIM(A25))&gt;0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2.75"/>
    <col customWidth="1" min="3" max="3" width="11.13"/>
    <col customWidth="1" min="4" max="4" width="4.13"/>
    <col customWidth="1" min="5" max="5" width="3.0"/>
    <col customWidth="1" min="6" max="6" width="3.75"/>
    <col customWidth="1" min="7" max="7" width="3.5"/>
    <col customWidth="1" min="8" max="8" width="3.38"/>
  </cols>
  <sheetData>
    <row r="1">
      <c r="A1" s="1"/>
      <c r="B1" s="3" t="s">
        <v>1</v>
      </c>
      <c r="C1" s="9">
        <f>NOW()</f>
        <v>46242.75275</v>
      </c>
      <c r="D1" s="11" t="s">
        <v>4</v>
      </c>
      <c r="E1" s="12"/>
      <c r="I1" s="17" t="s">
        <v>6</v>
      </c>
    </row>
    <row r="2">
      <c r="A2" s="1"/>
      <c r="B2" s="19" t="s">
        <v>9</v>
      </c>
      <c r="C2" s="21">
        <f>spese!C2</f>
        <v>13041</v>
      </c>
      <c r="D2" s="23"/>
      <c r="E2" s="12"/>
      <c r="I2" s="25"/>
    </row>
    <row r="3">
      <c r="A3" s="1"/>
      <c r="B3" s="19" t="s">
        <v>14</v>
      </c>
      <c r="C3" s="30">
        <f>C2-C4</f>
        <v>10064.63075</v>
      </c>
      <c r="D3" s="23"/>
      <c r="E3" s="12"/>
      <c r="I3" s="33"/>
    </row>
    <row r="4">
      <c r="A4" s="1"/>
      <c r="B4" s="19" t="s">
        <v>18</v>
      </c>
      <c r="C4" s="30">
        <f>SUM(C13:C303)</f>
        <v>2976.369254</v>
      </c>
      <c r="D4" s="23"/>
      <c r="I4" s="33"/>
    </row>
    <row r="5">
      <c r="A5" s="1"/>
      <c r="B5" s="19" t="s">
        <v>21</v>
      </c>
      <c r="C5" s="30">
        <f>SUM(I13:I303)</f>
        <v>0</v>
      </c>
      <c r="D5" s="41"/>
      <c r="E5" s="43"/>
      <c r="I5" s="33"/>
    </row>
    <row r="6">
      <c r="A6" s="1"/>
      <c r="B6" s="19" t="s">
        <v>28</v>
      </c>
      <c r="C6" s="45">
        <f>C2</f>
        <v>13041</v>
      </c>
      <c r="D6" s="41"/>
      <c r="E6" s="43"/>
      <c r="I6" s="33"/>
    </row>
    <row r="7">
      <c r="A7" s="1"/>
      <c r="B7" s="19" t="s">
        <v>30</v>
      </c>
      <c r="C7" s="54">
        <f>C6-C8</f>
        <v>10064.63075</v>
      </c>
      <c r="D7" s="41"/>
      <c r="E7" s="43"/>
      <c r="I7" s="33"/>
    </row>
    <row r="8">
      <c r="A8" s="1"/>
      <c r="B8" s="19" t="s">
        <v>29</v>
      </c>
      <c r="C8" s="52">
        <f>(C4-C5)</f>
        <v>2976.369254</v>
      </c>
      <c r="D8" s="41"/>
      <c r="E8" s="43"/>
      <c r="I8" s="33"/>
    </row>
    <row r="9">
      <c r="A9" s="1"/>
      <c r="B9" s="19"/>
      <c r="C9" s="41"/>
      <c r="D9" s="41"/>
      <c r="E9" s="43"/>
      <c r="I9" s="33"/>
    </row>
    <row r="10">
      <c r="A10" s="1"/>
      <c r="B10" s="19"/>
      <c r="C10" s="41"/>
      <c r="D10" s="41"/>
      <c r="E10" s="43"/>
      <c r="I10" s="33"/>
    </row>
    <row r="11">
      <c r="A11" s="1"/>
      <c r="B11" s="19"/>
      <c r="C11" s="41"/>
      <c r="D11" s="41"/>
      <c r="E11" s="43"/>
      <c r="I11" s="33"/>
    </row>
    <row r="12">
      <c r="A12" s="1"/>
      <c r="B12" s="63" t="s">
        <v>36</v>
      </c>
      <c r="C12" s="65"/>
      <c r="D12" s="41"/>
      <c r="E12" s="43"/>
      <c r="I12" s="33"/>
    </row>
    <row r="13">
      <c r="A13" s="67" t="b">
        <v>0</v>
      </c>
      <c r="B13" s="3" t="str">
        <f>IF(spese!A13="i",spese!B13,"")</f>
        <v>Finanziamento Findomestic </v>
      </c>
      <c r="C13" s="45">
        <f>IF(spese!A13="i",spese!C13*D13,"")</f>
        <v>430</v>
      </c>
      <c r="D13" s="71">
        <v>1.0</v>
      </c>
      <c r="I13" s="33" t="str">
        <f t="shared" ref="I13:I303" si="1">IF(A13=true,C13,"")</f>
        <v/>
      </c>
    </row>
    <row r="14">
      <c r="A14" s="67" t="b">
        <v>0</v>
      </c>
      <c r="B14" s="3" t="str">
        <f>IF(spese!A14="i",spese!B14,"")</f>
        <v>Assestamenti (30 gg x 18+3 €)</v>
      </c>
      <c r="C14" s="78">
        <f>IF(spese!A14="i",(spese!C14-(spese!C14/spese!E14)*(spese!E14-spese!F14)),"")</f>
        <v>189</v>
      </c>
      <c r="D14" s="79"/>
      <c r="I14" s="33" t="str">
        <f t="shared" si="1"/>
        <v/>
      </c>
      <c r="J14" s="29">
        <f>IF(spese!A14="i",spese!C14,"")</f>
        <v>630</v>
      </c>
    </row>
    <row r="15">
      <c r="A15" s="67" t="b">
        <v>0</v>
      </c>
      <c r="B15" s="3" t="str">
        <f>IF(spese!A15="i",spese!B15,"")</f>
        <v>Cellulare  Pier</v>
      </c>
      <c r="C15" s="45">
        <f>IF(spese!A15="i",spese!C15,"")</f>
        <v>10</v>
      </c>
      <c r="D15" s="79"/>
      <c r="I15" s="33" t="str">
        <f t="shared" si="1"/>
        <v/>
      </c>
    </row>
    <row r="16">
      <c r="A16" s="67" t="b">
        <v>0</v>
      </c>
      <c r="B16" s="3" t="str">
        <f>IF(spese!A16="i",spese!B16,"")</f>
        <v>Cellulare Simo</v>
      </c>
      <c r="C16" s="45">
        <f>IF(spese!A16="i",spese!C16,"")</f>
        <v>10</v>
      </c>
      <c r="D16" s="79"/>
      <c r="I16" s="33" t="str">
        <f t="shared" si="1"/>
        <v/>
      </c>
    </row>
    <row r="17">
      <c r="A17" s="67" t="b">
        <v>0</v>
      </c>
      <c r="B17" s="3" t="str">
        <f>IF(spese!A17="i",spese!B17,"")</f>
        <v>Cellulare Diletta</v>
      </c>
      <c r="C17" s="45">
        <f>IF(spese!A17="i",spese!C17,"")</f>
        <v>10</v>
      </c>
      <c r="D17" s="79"/>
      <c r="I17" s="33" t="str">
        <f t="shared" si="1"/>
        <v/>
      </c>
    </row>
    <row r="18">
      <c r="A18" s="67" t="b">
        <v>0</v>
      </c>
      <c r="B18" s="3" t="str">
        <f>IF(spese!A18="i",spese!B18,"")</f>
        <v>Netflix</v>
      </c>
      <c r="C18" s="45">
        <f>IF(spese!A18="i",spese!C18,"")</f>
        <v>10</v>
      </c>
      <c r="D18" s="79"/>
      <c r="I18" s="33" t="str">
        <f t="shared" si="1"/>
        <v/>
      </c>
    </row>
    <row r="19">
      <c r="A19" s="67" t="b">
        <v>0</v>
      </c>
      <c r="B19" s="3" t="str">
        <f>IF(spese!A19="i",spese!B19,"")</f>
        <v>Arrampicata Diletta </v>
      </c>
      <c r="C19" s="45">
        <f>IF(spese!A19="i",spese!C19,"")</f>
        <v>45</v>
      </c>
      <c r="D19" s="79"/>
      <c r="I19" s="33" t="str">
        <f t="shared" si="1"/>
        <v/>
      </c>
    </row>
    <row r="20">
      <c r="A20" s="67" t="b">
        <v>0</v>
      </c>
      <c r="B20" s="82" t="str">
        <f>IF(spese!A20="i",spese!B20,"")</f>
        <v>Acquisti vari on-line</v>
      </c>
      <c r="C20" s="85">
        <f>IF(spese!A20="i",spese!C20-Acquisti!B1,"")</f>
        <v>179</v>
      </c>
      <c r="D20" s="79"/>
      <c r="I20" s="33" t="str">
        <f t="shared" si="1"/>
        <v/>
      </c>
    </row>
    <row r="21">
      <c r="A21" s="67" t="b">
        <v>0</v>
      </c>
      <c r="B21" s="3" t="str">
        <f>IF(spese!A21="i",spese!B21,"")</f>
        <v/>
      </c>
      <c r="C21" s="45" t="str">
        <f>IF(spese!A21="i",spese!C21,"")</f>
        <v/>
      </c>
      <c r="D21" s="79"/>
      <c r="I21" s="33" t="str">
        <f t="shared" si="1"/>
        <v/>
      </c>
    </row>
    <row r="22">
      <c r="A22" s="67" t="b">
        <v>0</v>
      </c>
      <c r="B22" s="3" t="str">
        <f>IF(spese!A22="i",spese!B22,"")</f>
        <v/>
      </c>
      <c r="C22" s="45" t="str">
        <f>IF(spese!A22="i",spese!C22,"")</f>
        <v/>
      </c>
      <c r="D22" s="79"/>
      <c r="I22" s="33" t="str">
        <f t="shared" si="1"/>
        <v/>
      </c>
    </row>
    <row r="23">
      <c r="A23" s="67" t="b">
        <v>0</v>
      </c>
      <c r="B23" s="3" t="str">
        <f>IF(spese!A23="i",spese!B23,"")</f>
        <v/>
      </c>
      <c r="C23" s="45" t="str">
        <f>IF(spese!A23="i",spese!C23,"")</f>
        <v/>
      </c>
      <c r="D23" s="79"/>
      <c r="I23" s="33" t="str">
        <f t="shared" si="1"/>
        <v/>
      </c>
    </row>
    <row r="24">
      <c r="A24" s="67" t="b">
        <v>0</v>
      </c>
      <c r="B24" s="3" t="str">
        <f>IF(spese!A24="i",spese!B24,"")</f>
        <v/>
      </c>
      <c r="C24" s="45" t="str">
        <f>IF(spese!A24="i",spese!C24,"")</f>
        <v/>
      </c>
      <c r="D24" s="79"/>
      <c r="I24" s="33" t="str">
        <f t="shared" si="1"/>
        <v/>
      </c>
    </row>
    <row r="25">
      <c r="A25" s="67" t="b">
        <v>0</v>
      </c>
      <c r="B25" s="3" t="str">
        <f>IF(spese!A25="i",spese!B25,"")</f>
        <v/>
      </c>
      <c r="C25" s="45" t="str">
        <f>IF(spese!A25="i",spese!C25,"")</f>
        <v/>
      </c>
      <c r="D25" s="79"/>
      <c r="I25" s="33" t="str">
        <f t="shared" si="1"/>
        <v/>
      </c>
    </row>
    <row r="26">
      <c r="A26" s="67" t="b">
        <v>0</v>
      </c>
      <c r="B26" s="3"/>
      <c r="C26" s="45" t="str">
        <f>IF(spese!A26="i",spese!C26,"")</f>
        <v/>
      </c>
      <c r="D26" s="79"/>
      <c r="I26" s="33" t="str">
        <f t="shared" si="1"/>
        <v/>
      </c>
    </row>
    <row r="27">
      <c r="A27" s="67" t="b">
        <v>0</v>
      </c>
      <c r="B27" s="3"/>
      <c r="C27" s="45" t="str">
        <f>IF(spese!A27="i",spese!C27,"")</f>
        <v/>
      </c>
      <c r="D27" s="79"/>
      <c r="I27" s="33" t="str">
        <f t="shared" si="1"/>
        <v/>
      </c>
    </row>
    <row r="28">
      <c r="A28" s="67"/>
      <c r="B28" s="92"/>
      <c r="C28" s="93"/>
      <c r="D28" s="79"/>
      <c r="I28" s="33" t="str">
        <f t="shared" si="1"/>
        <v/>
      </c>
    </row>
    <row r="29">
      <c r="A29" s="67" t="b">
        <v>0</v>
      </c>
      <c r="B29" s="97" t="str">
        <f>IF(spese!A29="i",spese!B29,"")</f>
        <v>quota assicurazione c3 (scadenza 27/11/2026)</v>
      </c>
      <c r="C29" s="99">
        <f>IF(spese!A29="i",(spese!C29/spese!E29)*(spese!E29-spese!F29),"")</f>
        <v>318.0821918</v>
      </c>
      <c r="D29" s="71"/>
      <c r="I29" s="33" t="str">
        <f t="shared" si="1"/>
        <v/>
      </c>
    </row>
    <row r="30">
      <c r="A30" s="67" t="b">
        <v>0</v>
      </c>
      <c r="B30" s="97" t="str">
        <f>IF(spese!A30="i",spese!B30,"")</f>
        <v>quota assicurazione c1</v>
      </c>
      <c r="C30" s="99">
        <f>IF(spese!A30="i",(spese!C30/spese!E30)*(spese!E30-spese!F30),"")</f>
        <v>200.6849315</v>
      </c>
      <c r="D30" s="71"/>
      <c r="I30" s="33" t="str">
        <f t="shared" si="1"/>
        <v/>
      </c>
    </row>
    <row r="31">
      <c r="A31" s="67" t="b">
        <v>0</v>
      </c>
      <c r="B31" s="97" t="str">
        <f>IF(spese!A31="i",spese!B31,"")</f>
        <v>quota bollo c1</v>
      </c>
      <c r="C31" s="99">
        <f>IF(spese!A31="i",(spese!C31/spese!E31)*(spese!E31-spese!F31),"")</f>
        <v>114.6410959</v>
      </c>
      <c r="D31" s="71"/>
      <c r="I31" s="33" t="str">
        <f t="shared" si="1"/>
        <v/>
      </c>
    </row>
    <row r="32">
      <c r="A32" s="67" t="b">
        <v>0</v>
      </c>
      <c r="B32" s="97" t="str">
        <f>IF(spese!A32="i",spese!B32,"")</f>
        <v>quota condominio (trimestre)</v>
      </c>
      <c r="C32" s="99">
        <f>IF(spese!A32="i",(spese!C32/spese!E32)*(spese!E32-spese!F32),"")</f>
        <v>133.3333333</v>
      </c>
      <c r="D32" s="71"/>
      <c r="I32" s="33" t="str">
        <f t="shared" si="1"/>
        <v/>
      </c>
    </row>
    <row r="33">
      <c r="A33" s="67" t="b">
        <v>0</v>
      </c>
      <c r="B33" s="97" t="str">
        <f>IF(spese!A33="i",spese!B33,"")</f>
        <v>quota bollo c3</v>
      </c>
      <c r="C33" s="99">
        <f>IF(spese!A33="i",(spese!C33/spese!E33)*(spese!E33-spese!F33),"")</f>
        <v>139.8273973</v>
      </c>
      <c r="D33" s="71"/>
      <c r="I33" s="33" t="str">
        <f t="shared" si="1"/>
        <v/>
      </c>
    </row>
    <row r="34">
      <c r="A34" s="67" t="b">
        <v>0</v>
      </c>
      <c r="B34" s="97" t="str">
        <f>IF(spese!A34="i",spese!B34,"")</f>
        <v>Tari (ott. dic. feb. apr.)</v>
      </c>
      <c r="C34" s="99">
        <f>IF(spese!A34="i",(spese!C34/spese!E34)*(spese!E34-spese!F34),"")</f>
        <v>48</v>
      </c>
      <c r="D34" s="71"/>
      <c r="I34" s="33" t="str">
        <f t="shared" si="1"/>
        <v/>
      </c>
    </row>
    <row r="35">
      <c r="A35" s="67" t="b">
        <v>0</v>
      </c>
      <c r="B35" s="97" t="str">
        <f>IF(spese!A35="i",spese!B35,"")</f>
        <v>Eni luce e gas</v>
      </c>
      <c r="C35" s="99">
        <f>IF(spese!A35="i",(spese!C35/spese!E35)*(spese!E35-spese!F35),"")</f>
        <v>163.3333333</v>
      </c>
      <c r="D35" s="71"/>
      <c r="I35" s="33" t="str">
        <f t="shared" si="1"/>
        <v/>
      </c>
    </row>
    <row r="36">
      <c r="A36" s="67" t="b">
        <v>0</v>
      </c>
      <c r="B36" s="97" t="str">
        <f>IF(spese!A36="i",spese!B36,"")</f>
        <v>Abbanoa</v>
      </c>
      <c r="C36" s="99">
        <f>IF(spese!A36="i",(spese!C36/spese!E36)*(spese!E36-spese!F36),"")</f>
        <v>307.8888889</v>
      </c>
      <c r="D36" s="71"/>
      <c r="I36" s="33" t="str">
        <f t="shared" si="1"/>
        <v/>
      </c>
    </row>
    <row r="37">
      <c r="A37" s="67" t="b">
        <v>0</v>
      </c>
      <c r="B37" s="97" t="str">
        <f>IF(spese!A37="i",spese!B37,"")</f>
        <v>Tagliando C3</v>
      </c>
      <c r="C37" s="99">
        <f>IF(spese!A37="i",(spese!C37/spese!E37)*(spese!E37-spese!F37),"")</f>
        <v>169.369863</v>
      </c>
      <c r="D37" s="71"/>
      <c r="I37" s="33" t="str">
        <f t="shared" si="1"/>
        <v/>
      </c>
    </row>
    <row r="38">
      <c r="A38" s="67" t="b">
        <v>0</v>
      </c>
      <c r="B38" s="97" t="str">
        <f>IF(spese!A38="i",spese!B38,"")</f>
        <v>Distribuzione C3</v>
      </c>
      <c r="C38" s="99">
        <f>IF(spese!A38="i",(spese!C38/spese!E38)*(spese!E38-spese!F38),"")</f>
        <v>387.0136986</v>
      </c>
      <c r="D38" s="71"/>
      <c r="I38" s="33" t="str">
        <f t="shared" si="1"/>
        <v/>
      </c>
    </row>
    <row r="39">
      <c r="A39" s="67" t="b">
        <v>0</v>
      </c>
      <c r="B39" s="97" t="str">
        <f>IF(spese!A39="i",spese!B39,"")</f>
        <v>Garanzia Motore C3</v>
      </c>
      <c r="C39" s="99">
        <f>IF(spese!A39="i",(spese!C39/spese!E39)*(spese!E39-spese!F39),"")</f>
        <v>76.98630137</v>
      </c>
      <c r="D39" s="71"/>
      <c r="I39" s="33" t="str">
        <f t="shared" si="1"/>
        <v/>
      </c>
    </row>
    <row r="40">
      <c r="A40" s="67" t="b">
        <v>0</v>
      </c>
      <c r="B40" s="97" t="str">
        <f>IF(spese!A40="i",spese!B40,"")</f>
        <v>PEC Aruba</v>
      </c>
      <c r="C40" s="99">
        <f>IF(spese!A40="i",(spese!C40/spese!E40)*(spese!E40-spese!F40),"")</f>
        <v>9.331506849</v>
      </c>
      <c r="D40" s="71"/>
      <c r="I40" s="33" t="str">
        <f t="shared" si="1"/>
        <v/>
      </c>
    </row>
    <row r="41">
      <c r="A41" s="67" t="b">
        <v>0</v>
      </c>
      <c r="B41" s="97" t="str">
        <f>IF(spese!A41="i",spese!B41,"")</f>
        <v>Revisione C1</v>
      </c>
      <c r="C41" s="99">
        <f>IF(spese!A41="i",(spese!C41/spese!E41)*(spese!E41-spese!F41),"")</f>
        <v>-2.630136986</v>
      </c>
      <c r="D41" s="71"/>
      <c r="I41" s="33" t="str">
        <f t="shared" si="1"/>
        <v/>
      </c>
    </row>
    <row r="42">
      <c r="A42" s="67" t="b">
        <v>0</v>
      </c>
      <c r="B42" s="97" t="str">
        <f>IF(spese!A42="i",spese!B42,"")</f>
        <v>Revisione C3</v>
      </c>
      <c r="C42" s="99">
        <f>IF(spese!A42="i",(spese!C42/spese!E42)*(spese!E42-spese!F42),"")</f>
        <v>27.50684932</v>
      </c>
      <c r="D42" s="71"/>
      <c r="I42" s="33" t="str">
        <f t="shared" si="1"/>
        <v/>
      </c>
    </row>
    <row r="43">
      <c r="A43" s="67" t="b">
        <v>0</v>
      </c>
      <c r="B43" s="97" t="str">
        <f>IF(spese!A43="i",spese!B43,"")</f>
        <v/>
      </c>
      <c r="C43" s="99" t="str">
        <f>IF(spese!A43="i",(spese!C43/spese!E43)*(spese!E43-spese!F43),"")</f>
        <v/>
      </c>
      <c r="D43" s="71"/>
      <c r="I43" s="33" t="str">
        <f t="shared" si="1"/>
        <v/>
      </c>
    </row>
    <row r="44">
      <c r="A44" s="67" t="b">
        <v>0</v>
      </c>
      <c r="B44" s="112" t="s">
        <v>87</v>
      </c>
      <c r="C44" s="113"/>
      <c r="D44" s="114"/>
      <c r="I44" s="33" t="str">
        <f t="shared" si="1"/>
        <v/>
      </c>
    </row>
    <row r="45">
      <c r="A45" s="67" t="b">
        <v>0</v>
      </c>
      <c r="B45" s="115" t="str">
        <f>IF(spese!A45="i",spese!B45,"")</f>
        <v/>
      </c>
      <c r="C45" s="116" t="str">
        <f>IF(spese!A45="i",spese!C45,"")</f>
        <v/>
      </c>
      <c r="D45" s="114"/>
      <c r="I45" s="33" t="str">
        <f t="shared" si="1"/>
        <v/>
      </c>
    </row>
    <row r="46">
      <c r="A46" s="67" t="b">
        <v>0</v>
      </c>
      <c r="B46" s="115" t="str">
        <f>IF(spese!A46="i",spese!B46,"")</f>
        <v/>
      </c>
      <c r="C46" s="116" t="str">
        <f>IF(spese!A46="i",spese!C46,"")</f>
        <v/>
      </c>
      <c r="D46" s="114"/>
      <c r="I46" s="33" t="str">
        <f t="shared" si="1"/>
        <v/>
      </c>
    </row>
    <row r="47">
      <c r="A47" s="67" t="b">
        <v>0</v>
      </c>
      <c r="B47" s="115" t="str">
        <f>IF(spese!A47="i",spese!B47,"")</f>
        <v/>
      </c>
      <c r="C47" s="116" t="str">
        <f>IF(spese!A47="i",spese!C47,"")</f>
        <v/>
      </c>
      <c r="D47" s="114"/>
      <c r="I47" s="33" t="str">
        <f t="shared" si="1"/>
        <v/>
      </c>
    </row>
    <row r="48">
      <c r="A48" s="67" t="b">
        <v>0</v>
      </c>
      <c r="B48" s="115" t="str">
        <f>IF(spese!A48="i",spese!B48,"")</f>
        <v/>
      </c>
      <c r="C48" s="116" t="str">
        <f>IF(spese!A48="i",spese!C48,"")</f>
        <v/>
      </c>
      <c r="D48" s="114"/>
      <c r="I48" s="33" t="str">
        <f t="shared" si="1"/>
        <v/>
      </c>
    </row>
    <row r="49">
      <c r="A49" s="67" t="b">
        <v>0</v>
      </c>
      <c r="B49" s="115" t="str">
        <f>IF(spese!A49="i",spese!B49,"")</f>
        <v/>
      </c>
      <c r="C49" s="116" t="str">
        <f>IF(spese!A49="i",spese!C49,"")</f>
        <v/>
      </c>
      <c r="D49" s="114"/>
      <c r="I49" s="33" t="str">
        <f t="shared" si="1"/>
        <v/>
      </c>
    </row>
    <row r="50">
      <c r="A50" s="67" t="b">
        <v>0</v>
      </c>
      <c r="B50" s="115" t="str">
        <f>IF(spese!A50="i",spese!B50,"")</f>
        <v/>
      </c>
      <c r="C50" s="116" t="str">
        <f>IF(spese!A50="i",spese!C50,"")</f>
        <v/>
      </c>
      <c r="D50" s="114"/>
      <c r="I50" s="33" t="str">
        <f t="shared" si="1"/>
        <v/>
      </c>
    </row>
    <row r="51">
      <c r="A51" s="67" t="b">
        <v>0</v>
      </c>
      <c r="B51" s="115" t="str">
        <f>IF(spese!A51="i",spese!B51,"")</f>
        <v/>
      </c>
      <c r="C51" s="116" t="str">
        <f>IF(spese!A51="i",spese!C51,"")</f>
        <v/>
      </c>
      <c r="D51" s="114"/>
      <c r="I51" s="33" t="str">
        <f t="shared" si="1"/>
        <v/>
      </c>
    </row>
    <row r="52">
      <c r="A52" s="67" t="b">
        <v>0</v>
      </c>
      <c r="B52" s="115" t="str">
        <f>IF(spese!A52="i",spese!B52,"")</f>
        <v/>
      </c>
      <c r="C52" s="116" t="str">
        <f>IF(spese!A52="i",spese!C52,"")</f>
        <v/>
      </c>
      <c r="D52" s="114"/>
      <c r="I52" s="33" t="str">
        <f t="shared" si="1"/>
        <v/>
      </c>
    </row>
    <row r="53">
      <c r="A53" s="67" t="b">
        <v>0</v>
      </c>
      <c r="B53" s="115" t="str">
        <f>IF(spese!A53="i",spese!B53,"")</f>
        <v/>
      </c>
      <c r="C53" s="116" t="str">
        <f>IF(spese!A53="i",spese!C53,"")</f>
        <v/>
      </c>
      <c r="D53" s="114"/>
      <c r="I53" s="33" t="str">
        <f t="shared" si="1"/>
        <v/>
      </c>
    </row>
    <row r="54">
      <c r="A54" s="67" t="b">
        <v>0</v>
      </c>
      <c r="B54" s="115" t="str">
        <f>IF(spese!A54="i",spese!B54,"")</f>
        <v/>
      </c>
      <c r="C54" s="116" t="str">
        <f>IF(spese!A54="i",spese!C54,"")</f>
        <v/>
      </c>
      <c r="D54" s="114"/>
      <c r="I54" s="33" t="str">
        <f t="shared" si="1"/>
        <v/>
      </c>
    </row>
    <row r="55">
      <c r="A55" s="67" t="b">
        <v>0</v>
      </c>
      <c r="B55" s="115" t="str">
        <f>IF(spese!A55="i",spese!B55,"")</f>
        <v/>
      </c>
      <c r="C55" s="116" t="str">
        <f>IF(spese!A55="i",spese!C55,"")</f>
        <v/>
      </c>
      <c r="D55" s="114"/>
      <c r="I55" s="33" t="str">
        <f t="shared" si="1"/>
        <v/>
      </c>
    </row>
    <row r="56">
      <c r="A56" s="67" t="b">
        <v>0</v>
      </c>
      <c r="B56" s="115" t="str">
        <f>IF(spese!A56="i",spese!B56,"")</f>
        <v/>
      </c>
      <c r="C56" s="116" t="str">
        <f>IF(spese!A56="i",spese!C56,"")</f>
        <v/>
      </c>
      <c r="D56" s="114"/>
      <c r="I56" s="33" t="str">
        <f t="shared" si="1"/>
        <v/>
      </c>
    </row>
    <row r="57">
      <c r="A57" s="67" t="b">
        <v>0</v>
      </c>
      <c r="B57" s="115" t="str">
        <f>IF(spese!A57="i",spese!B57,"")</f>
        <v/>
      </c>
      <c r="C57" s="116" t="str">
        <f>IF(spese!A57="i",spese!C57,"")</f>
        <v/>
      </c>
      <c r="D57" s="114"/>
      <c r="I57" s="33" t="str">
        <f t="shared" si="1"/>
        <v/>
      </c>
    </row>
    <row r="58">
      <c r="A58" s="67" t="b">
        <v>0</v>
      </c>
      <c r="B58" s="115" t="str">
        <f>IF(spese!A58="i",spese!B58,"")</f>
        <v/>
      </c>
      <c r="C58" s="116" t="str">
        <f>IF(spese!A58="i",spese!C58,"")</f>
        <v/>
      </c>
      <c r="D58" s="114"/>
      <c r="I58" s="33" t="str">
        <f t="shared" si="1"/>
        <v/>
      </c>
    </row>
    <row r="59">
      <c r="A59" s="67" t="b">
        <v>0</v>
      </c>
      <c r="B59" s="115" t="str">
        <f>IF(spese!A59="i",spese!B59,"")</f>
        <v/>
      </c>
      <c r="C59" s="116" t="str">
        <f>IF(spese!A59="i",spese!C59,"")</f>
        <v/>
      </c>
      <c r="D59" s="114"/>
      <c r="I59" s="33" t="str">
        <f t="shared" si="1"/>
        <v/>
      </c>
    </row>
    <row r="60">
      <c r="A60" s="67" t="b">
        <v>0</v>
      </c>
      <c r="B60" s="115" t="str">
        <f>IF(spese!A60="i",spese!B60,"")</f>
        <v/>
      </c>
      <c r="C60" s="116" t="str">
        <f>IF(spese!A60="i",spese!C60,"")</f>
        <v/>
      </c>
      <c r="D60" s="114"/>
      <c r="I60" s="33" t="str">
        <f t="shared" si="1"/>
        <v/>
      </c>
    </row>
    <row r="61">
      <c r="A61" s="67" t="b">
        <v>0</v>
      </c>
      <c r="B61" s="115" t="str">
        <f>IF(spese!A61="i",spese!B61,"")</f>
        <v/>
      </c>
      <c r="C61" s="116" t="str">
        <f>IF(spese!A61="i",spese!C61,"")</f>
        <v/>
      </c>
      <c r="D61" s="114"/>
      <c r="I61" s="33" t="str">
        <f t="shared" si="1"/>
        <v/>
      </c>
    </row>
    <row r="62">
      <c r="A62" s="67" t="b">
        <v>0</v>
      </c>
      <c r="B62" s="115" t="str">
        <f>IF(spese!A62="i",spese!B62,"")</f>
        <v/>
      </c>
      <c r="C62" s="116" t="str">
        <f>IF(spese!A62="i",spese!C62,"")</f>
        <v/>
      </c>
      <c r="D62" s="114"/>
      <c r="I62" s="33" t="str">
        <f t="shared" si="1"/>
        <v/>
      </c>
    </row>
    <row r="63">
      <c r="A63" s="67" t="b">
        <v>0</v>
      </c>
      <c r="B63" s="115" t="str">
        <f>IF(spese!A63="i",spese!B63,"")</f>
        <v/>
      </c>
      <c r="C63" s="116" t="str">
        <f>IF(spese!A63="i",spese!C63,"")</f>
        <v/>
      </c>
      <c r="D63" s="114"/>
      <c r="I63" s="33" t="str">
        <f t="shared" si="1"/>
        <v/>
      </c>
    </row>
    <row r="64">
      <c r="A64" s="67" t="b">
        <v>0</v>
      </c>
      <c r="B64" s="115" t="str">
        <f>IF(spese!A64="i",spese!B64,"")</f>
        <v/>
      </c>
      <c r="C64" s="116" t="str">
        <f>IF(spese!A64="i",spese!C64,"")</f>
        <v/>
      </c>
      <c r="D64" s="114"/>
      <c r="I64" s="33" t="str">
        <f t="shared" si="1"/>
        <v/>
      </c>
    </row>
    <row r="65">
      <c r="A65" s="67" t="b">
        <v>0</v>
      </c>
      <c r="B65" s="115" t="str">
        <f>IF(spese!A65="i",spese!B65,"")</f>
        <v/>
      </c>
      <c r="C65" s="116" t="str">
        <f>IF(spese!A65="i",spese!C65,"")</f>
        <v/>
      </c>
      <c r="D65" s="114"/>
      <c r="I65" s="33" t="str">
        <f t="shared" si="1"/>
        <v/>
      </c>
    </row>
    <row r="66">
      <c r="A66" s="67" t="b">
        <v>0</v>
      </c>
      <c r="B66" s="115" t="str">
        <f>IF(spese!A66="i",spese!B66,"")</f>
        <v/>
      </c>
      <c r="C66" s="116" t="str">
        <f>IF(spese!A66="i",spese!C66,"")</f>
        <v/>
      </c>
      <c r="D66" s="114"/>
      <c r="I66" s="33" t="str">
        <f t="shared" si="1"/>
        <v/>
      </c>
    </row>
    <row r="67">
      <c r="A67" s="67" t="b">
        <v>0</v>
      </c>
      <c r="B67" s="115" t="str">
        <f>IF(spese!A67="i",spese!B67,"")</f>
        <v/>
      </c>
      <c r="C67" s="116" t="str">
        <f>IF(spese!A67="i",spese!C67,"")</f>
        <v/>
      </c>
      <c r="D67" s="114"/>
      <c r="I67" s="33" t="str">
        <f t="shared" si="1"/>
        <v/>
      </c>
    </row>
    <row r="68">
      <c r="A68" s="67" t="b">
        <v>0</v>
      </c>
      <c r="B68" s="115" t="str">
        <f>IF(spese!A68="i",spese!B68,"")</f>
        <v/>
      </c>
      <c r="C68" s="116" t="str">
        <f>IF(spese!A68="i",spese!C68,"")</f>
        <v/>
      </c>
      <c r="D68" s="114"/>
      <c r="I68" s="33" t="str">
        <f t="shared" si="1"/>
        <v/>
      </c>
    </row>
    <row r="69">
      <c r="A69" s="67" t="b">
        <v>0</v>
      </c>
      <c r="B69" s="115" t="str">
        <f>IF(spese!A69="i",spese!B69,"")</f>
        <v/>
      </c>
      <c r="C69" s="116" t="str">
        <f>IF(spese!A69="i",spese!C69,"")</f>
        <v/>
      </c>
      <c r="D69" s="114"/>
      <c r="I69" s="33" t="str">
        <f t="shared" si="1"/>
        <v/>
      </c>
    </row>
    <row r="70">
      <c r="A70" s="67" t="b">
        <v>0</v>
      </c>
      <c r="B70" s="115" t="str">
        <f>IF(spese!A70="i",spese!B70,"")</f>
        <v/>
      </c>
      <c r="C70" s="116" t="str">
        <f>IF(spese!A70="i",spese!C70,"")</f>
        <v/>
      </c>
      <c r="D70" s="114"/>
      <c r="I70" s="33" t="str">
        <f t="shared" si="1"/>
        <v/>
      </c>
    </row>
    <row r="71">
      <c r="A71" s="67" t="b">
        <v>0</v>
      </c>
      <c r="B71" s="115" t="str">
        <f>IF(spese!A71="i",spese!B71,"")</f>
        <v/>
      </c>
      <c r="C71" s="116" t="str">
        <f>IF(spese!A71="i",spese!C71,"")</f>
        <v/>
      </c>
      <c r="D71" s="114"/>
      <c r="I71" s="33" t="str">
        <f t="shared" si="1"/>
        <v/>
      </c>
    </row>
    <row r="72">
      <c r="A72" s="67" t="b">
        <v>0</v>
      </c>
      <c r="B72" s="115" t="str">
        <f>IF(spese!A72="i",spese!B72,"")</f>
        <v/>
      </c>
      <c r="C72" s="116" t="str">
        <f>IF(spese!A72="i",spese!C72,"")</f>
        <v/>
      </c>
      <c r="D72" s="114"/>
      <c r="I72" s="33" t="str">
        <f t="shared" si="1"/>
        <v/>
      </c>
    </row>
    <row r="73">
      <c r="A73" s="67" t="b">
        <v>0</v>
      </c>
      <c r="B73" s="115" t="str">
        <f>IF(spese!A73="i",spese!B73,"")</f>
        <v/>
      </c>
      <c r="C73" s="116" t="str">
        <f>IF(spese!A73="i",spese!C73,"")</f>
        <v/>
      </c>
      <c r="D73" s="114"/>
      <c r="I73" s="33" t="str">
        <f t="shared" si="1"/>
        <v/>
      </c>
    </row>
    <row r="74">
      <c r="A74" s="67" t="b">
        <v>0</v>
      </c>
      <c r="B74" s="115" t="str">
        <f>IF(spese!A74="i",spese!B74,"")</f>
        <v/>
      </c>
      <c r="C74" s="116" t="str">
        <f>IF(spese!A74="i",spese!C74,"")</f>
        <v/>
      </c>
      <c r="D74" s="114"/>
      <c r="I74" s="33" t="str">
        <f t="shared" si="1"/>
        <v/>
      </c>
    </row>
    <row r="75">
      <c r="A75" s="67" t="b">
        <v>0</v>
      </c>
      <c r="B75" s="115" t="str">
        <f>IF(spese!A75="i",spese!B75,"")</f>
        <v/>
      </c>
      <c r="C75" s="116" t="str">
        <f>IF(spese!A75="i",spese!C75,"")</f>
        <v/>
      </c>
      <c r="D75" s="114"/>
      <c r="I75" s="33" t="str">
        <f t="shared" si="1"/>
        <v/>
      </c>
    </row>
    <row r="76">
      <c r="A76" s="67" t="b">
        <v>0</v>
      </c>
      <c r="B76" s="115" t="str">
        <f>IF(spese!A76="i",spese!B76,"")</f>
        <v/>
      </c>
      <c r="C76" s="116" t="str">
        <f>IF(spese!A76="i",spese!C76,"")</f>
        <v/>
      </c>
      <c r="D76" s="114"/>
      <c r="I76" s="33" t="str">
        <f t="shared" si="1"/>
        <v/>
      </c>
    </row>
    <row r="77">
      <c r="A77" s="67" t="b">
        <v>0</v>
      </c>
      <c r="B77" s="115" t="str">
        <f>IF(spese!A77="i",spese!B77,"")</f>
        <v/>
      </c>
      <c r="C77" s="116" t="str">
        <f>IF(spese!A77="i",spese!C77,"")</f>
        <v/>
      </c>
      <c r="D77" s="114"/>
      <c r="I77" s="33" t="str">
        <f t="shared" si="1"/>
        <v/>
      </c>
    </row>
    <row r="78">
      <c r="A78" s="67" t="b">
        <v>0</v>
      </c>
      <c r="B78" s="115" t="str">
        <f>IF(spese!A78="i",spese!B78,"")</f>
        <v/>
      </c>
      <c r="C78" s="116" t="str">
        <f>IF(spese!A78="i",spese!C78,"")</f>
        <v/>
      </c>
      <c r="D78" s="114"/>
      <c r="I78" s="33" t="str">
        <f t="shared" si="1"/>
        <v/>
      </c>
    </row>
    <row r="79">
      <c r="A79" s="67" t="b">
        <v>0</v>
      </c>
      <c r="B79" s="115" t="str">
        <f>IF(spese!A79="i",spese!B79,"")</f>
        <v/>
      </c>
      <c r="C79" s="116" t="str">
        <f>IF(spese!A79="i",spese!C79,"")</f>
        <v/>
      </c>
      <c r="D79" s="114"/>
      <c r="I79" s="33" t="str">
        <f t="shared" si="1"/>
        <v/>
      </c>
    </row>
    <row r="80">
      <c r="A80" s="67" t="b">
        <v>0</v>
      </c>
      <c r="B80" s="115" t="str">
        <f>IF(spese!A80="i",spese!B80,"")</f>
        <v/>
      </c>
      <c r="C80" s="116" t="str">
        <f>IF(spese!A80="i",spese!C80,"")</f>
        <v/>
      </c>
      <c r="D80" s="114"/>
      <c r="I80" s="33" t="str">
        <f t="shared" si="1"/>
        <v/>
      </c>
    </row>
    <row r="81">
      <c r="A81" s="67" t="b">
        <v>0</v>
      </c>
      <c r="B81" s="115" t="str">
        <f>IF(spese!A81="i",spese!B81,"")</f>
        <v/>
      </c>
      <c r="C81" s="116" t="str">
        <f>IF(spese!A81="i",spese!C81,"")</f>
        <v/>
      </c>
      <c r="D81" s="114"/>
      <c r="I81" s="33" t="str">
        <f t="shared" si="1"/>
        <v/>
      </c>
    </row>
    <row r="82">
      <c r="A82" s="67" t="b">
        <v>0</v>
      </c>
      <c r="B82" s="115" t="str">
        <f>IF(spese!A82="i",spese!B82,"")</f>
        <v/>
      </c>
      <c r="C82" s="116" t="str">
        <f>IF(spese!A82="i",spese!C82,"")</f>
        <v/>
      </c>
      <c r="D82" s="114"/>
      <c r="I82" s="33" t="str">
        <f t="shared" si="1"/>
        <v/>
      </c>
    </row>
    <row r="83">
      <c r="A83" s="67" t="b">
        <v>0</v>
      </c>
      <c r="B83" s="115" t="str">
        <f>IF(spese!A83="i",spese!B83,"")</f>
        <v/>
      </c>
      <c r="C83" s="116" t="str">
        <f>IF(spese!A83="i",spese!C83,"")</f>
        <v/>
      </c>
      <c r="D83" s="114"/>
      <c r="I83" s="33" t="str">
        <f t="shared" si="1"/>
        <v/>
      </c>
    </row>
    <row r="84">
      <c r="A84" s="67" t="b">
        <v>0</v>
      </c>
      <c r="B84" s="115" t="str">
        <f>IF(spese!A84="i",spese!B84,"")</f>
        <v/>
      </c>
      <c r="C84" s="116" t="str">
        <f>IF(spese!A84="i",spese!C84,"")</f>
        <v/>
      </c>
      <c r="D84" s="114"/>
      <c r="I84" s="33" t="str">
        <f t="shared" si="1"/>
        <v/>
      </c>
    </row>
    <row r="85">
      <c r="A85" s="67" t="b">
        <v>0</v>
      </c>
      <c r="B85" s="115" t="str">
        <f>IF(spese!A85="i",spese!B85,"")</f>
        <v/>
      </c>
      <c r="C85" s="116" t="str">
        <f>IF(spese!A85="i",spese!C85,"")</f>
        <v/>
      </c>
      <c r="D85" s="114"/>
      <c r="I85" s="33" t="str">
        <f t="shared" si="1"/>
        <v/>
      </c>
    </row>
    <row r="86">
      <c r="A86" s="67" t="b">
        <v>0</v>
      </c>
      <c r="B86" s="115" t="str">
        <f>IF(spese!A86="i",spese!B86,"")</f>
        <v/>
      </c>
      <c r="C86" s="116" t="str">
        <f>IF(spese!A86="i",spese!C86,"")</f>
        <v/>
      </c>
      <c r="D86" s="114"/>
      <c r="I86" s="33" t="str">
        <f t="shared" si="1"/>
        <v/>
      </c>
    </row>
    <row r="87">
      <c r="A87" s="67" t="b">
        <v>0</v>
      </c>
      <c r="B87" s="115" t="str">
        <f>IF(spese!A87="i",spese!B87,"")</f>
        <v/>
      </c>
      <c r="C87" s="116" t="str">
        <f>IF(spese!A87="i",spese!C87,"")</f>
        <v/>
      </c>
      <c r="D87" s="114"/>
      <c r="I87" s="33" t="str">
        <f t="shared" si="1"/>
        <v/>
      </c>
    </row>
    <row r="88">
      <c r="A88" s="67" t="b">
        <v>0</v>
      </c>
      <c r="B88" s="115" t="str">
        <f>IF(spese!A88="i",spese!B88,"")</f>
        <v/>
      </c>
      <c r="C88" s="116" t="str">
        <f>IF(spese!A88="i",spese!C88,"")</f>
        <v/>
      </c>
      <c r="D88" s="114"/>
      <c r="I88" s="33" t="str">
        <f t="shared" si="1"/>
        <v/>
      </c>
    </row>
    <row r="89">
      <c r="A89" s="67" t="b">
        <v>0</v>
      </c>
      <c r="B89" s="115" t="str">
        <f>IF(spese!A89="i",spese!B89,"")</f>
        <v/>
      </c>
      <c r="C89" s="116" t="str">
        <f>IF(spese!A89="i",spese!C89,"")</f>
        <v/>
      </c>
      <c r="D89" s="114"/>
      <c r="I89" s="33" t="str">
        <f t="shared" si="1"/>
        <v/>
      </c>
    </row>
    <row r="90">
      <c r="A90" s="67" t="b">
        <v>0</v>
      </c>
      <c r="B90" s="115" t="str">
        <f>IF(spese!A90="i",spese!B90,"")</f>
        <v/>
      </c>
      <c r="C90" s="116" t="str">
        <f>IF(spese!A90="i",spese!C90,"")</f>
        <v/>
      </c>
      <c r="D90" s="114"/>
      <c r="I90" s="33" t="str">
        <f t="shared" si="1"/>
        <v/>
      </c>
    </row>
    <row r="91">
      <c r="A91" s="67" t="b">
        <v>0</v>
      </c>
      <c r="B91" s="115" t="str">
        <f>IF(spese!A91="i",spese!B91,"")</f>
        <v/>
      </c>
      <c r="C91" s="116" t="str">
        <f>IF(spese!A91="i",spese!C91,"")</f>
        <v/>
      </c>
      <c r="D91" s="114"/>
      <c r="I91" s="33" t="str">
        <f t="shared" si="1"/>
        <v/>
      </c>
    </row>
    <row r="92">
      <c r="A92" s="67" t="b">
        <v>0</v>
      </c>
      <c r="B92" s="115" t="str">
        <f>IF(spese!A92="i",spese!B92,"")</f>
        <v/>
      </c>
      <c r="C92" s="116" t="str">
        <f>IF(spese!A92="i",spese!C92,"")</f>
        <v/>
      </c>
      <c r="D92" s="114"/>
      <c r="I92" s="33" t="str">
        <f t="shared" si="1"/>
        <v/>
      </c>
    </row>
    <row r="93">
      <c r="A93" s="67" t="b">
        <v>0</v>
      </c>
      <c r="B93" s="115" t="str">
        <f>IF(spese!A93="i",spese!B93,"")</f>
        <v/>
      </c>
      <c r="C93" s="116" t="str">
        <f>IF(spese!A93="i",spese!C93,"")</f>
        <v/>
      </c>
      <c r="D93" s="114"/>
      <c r="I93" s="33" t="str">
        <f t="shared" si="1"/>
        <v/>
      </c>
    </row>
    <row r="94">
      <c r="A94" s="67" t="b">
        <v>0</v>
      </c>
      <c r="B94" s="115" t="str">
        <f>IF(spese!A94="i",spese!B94,"")</f>
        <v/>
      </c>
      <c r="C94" s="116" t="str">
        <f>IF(spese!A94="i",spese!C94,"")</f>
        <v/>
      </c>
      <c r="D94" s="114"/>
      <c r="I94" s="33" t="str">
        <f t="shared" si="1"/>
        <v/>
      </c>
    </row>
    <row r="95">
      <c r="A95" s="67" t="b">
        <v>0</v>
      </c>
      <c r="B95" s="115" t="str">
        <f>IF(spese!A95="i",spese!B95,"")</f>
        <v/>
      </c>
      <c r="C95" s="116" t="str">
        <f>IF(spese!A95="i",spese!C95,"")</f>
        <v/>
      </c>
      <c r="D95" s="114"/>
      <c r="I95" s="33" t="str">
        <f t="shared" si="1"/>
        <v/>
      </c>
    </row>
    <row r="96">
      <c r="A96" s="67" t="b">
        <v>0</v>
      </c>
      <c r="B96" s="115" t="str">
        <f>IF(spese!A96="i",spese!B96,"")</f>
        <v/>
      </c>
      <c r="C96" s="116" t="str">
        <f>IF(spese!A96="i",spese!C96,"")</f>
        <v/>
      </c>
      <c r="D96" s="114"/>
      <c r="I96" s="33" t="str">
        <f t="shared" si="1"/>
        <v/>
      </c>
    </row>
    <row r="97">
      <c r="A97" s="67" t="b">
        <v>0</v>
      </c>
      <c r="B97" s="115" t="str">
        <f>IF(spese!A97="i",spese!B97,"")</f>
        <v/>
      </c>
      <c r="C97" s="116" t="str">
        <f>IF(spese!A97="i",spese!C97,"")</f>
        <v/>
      </c>
      <c r="D97" s="114"/>
      <c r="I97" s="33" t="str">
        <f t="shared" si="1"/>
        <v/>
      </c>
    </row>
    <row r="98">
      <c r="A98" s="67" t="b">
        <v>0</v>
      </c>
      <c r="B98" s="115" t="str">
        <f>IF(spese!A98="i",spese!B98,"")</f>
        <v/>
      </c>
      <c r="C98" s="116" t="str">
        <f>IF(spese!A98="i",spese!C98,"")</f>
        <v/>
      </c>
      <c r="D98" s="114"/>
      <c r="I98" s="33" t="str">
        <f t="shared" si="1"/>
        <v/>
      </c>
    </row>
    <row r="99">
      <c r="A99" s="67" t="b">
        <v>0</v>
      </c>
      <c r="B99" s="115" t="str">
        <f>IF(spese!A99="i",spese!B99,"")</f>
        <v/>
      </c>
      <c r="C99" s="116" t="str">
        <f>IF(spese!A99="i",spese!C99,"")</f>
        <v/>
      </c>
      <c r="D99" s="114"/>
      <c r="I99" s="33" t="str">
        <f t="shared" si="1"/>
        <v/>
      </c>
    </row>
    <row r="100">
      <c r="A100" s="67" t="b">
        <v>0</v>
      </c>
      <c r="B100" s="115" t="str">
        <f>IF(spese!A100="i",spese!B100,"")</f>
        <v/>
      </c>
      <c r="C100" s="116" t="str">
        <f>IF(spese!A100="i",spese!C100,"")</f>
        <v/>
      </c>
      <c r="D100" s="114"/>
      <c r="I100" s="33" t="str">
        <f t="shared" si="1"/>
        <v/>
      </c>
    </row>
    <row r="101">
      <c r="A101" s="67" t="b">
        <v>0</v>
      </c>
      <c r="B101" s="115" t="str">
        <f>IF(spese!A101="i",spese!B101,"")</f>
        <v/>
      </c>
      <c r="C101" s="116" t="str">
        <f>IF(spese!A101="i",spese!C101,"")</f>
        <v/>
      </c>
      <c r="D101" s="114"/>
      <c r="I101" s="33" t="str">
        <f t="shared" si="1"/>
        <v/>
      </c>
    </row>
    <row r="102">
      <c r="A102" s="67" t="b">
        <v>0</v>
      </c>
      <c r="B102" s="115" t="str">
        <f>IF(spese!A102="i",spese!B102,"")</f>
        <v/>
      </c>
      <c r="C102" s="116" t="str">
        <f>IF(spese!A102="i",spese!C102,"")</f>
        <v/>
      </c>
      <c r="D102" s="114"/>
      <c r="I102" s="33" t="str">
        <f t="shared" si="1"/>
        <v/>
      </c>
    </row>
    <row r="103">
      <c r="A103" s="67" t="b">
        <v>0</v>
      </c>
      <c r="B103" s="115" t="str">
        <f>IF(spese!A103="i",spese!B103,"")</f>
        <v/>
      </c>
      <c r="C103" s="116" t="str">
        <f>IF(spese!A103="i",spese!C103,"")</f>
        <v/>
      </c>
      <c r="D103" s="114"/>
      <c r="I103" s="33" t="str">
        <f t="shared" si="1"/>
        <v/>
      </c>
    </row>
    <row r="104">
      <c r="A104" s="67" t="b">
        <v>0</v>
      </c>
      <c r="B104" s="115" t="str">
        <f>IF(spese!A104="i",spese!B104,"")</f>
        <v/>
      </c>
      <c r="C104" s="116" t="str">
        <f>IF(spese!A104="i",spese!C104,"")</f>
        <v/>
      </c>
      <c r="D104" s="114"/>
      <c r="I104" s="33" t="str">
        <f t="shared" si="1"/>
        <v/>
      </c>
    </row>
    <row r="105">
      <c r="A105" s="67" t="b">
        <v>0</v>
      </c>
      <c r="B105" s="115" t="str">
        <f>IF(spese!A105="i",spese!B105,"")</f>
        <v/>
      </c>
      <c r="C105" s="116" t="str">
        <f>IF(spese!A105="i",spese!C105,"")</f>
        <v/>
      </c>
      <c r="D105" s="114"/>
      <c r="I105" s="33" t="str">
        <f t="shared" si="1"/>
        <v/>
      </c>
    </row>
    <row r="106">
      <c r="A106" s="67" t="b">
        <v>0</v>
      </c>
      <c r="B106" s="115" t="str">
        <f>IF(spese!A106="i",spese!B106,"")</f>
        <v/>
      </c>
      <c r="C106" s="116" t="str">
        <f>IF(spese!A106="i",spese!C106,"")</f>
        <v/>
      </c>
      <c r="D106" s="114"/>
      <c r="I106" s="33" t="str">
        <f t="shared" si="1"/>
        <v/>
      </c>
    </row>
    <row r="107">
      <c r="A107" s="67" t="b">
        <v>0</v>
      </c>
      <c r="B107" s="115" t="str">
        <f>IF(spese!A107="i",spese!B107,"")</f>
        <v/>
      </c>
      <c r="C107" s="116" t="str">
        <f>IF(spese!A107="i",spese!C107,"")</f>
        <v/>
      </c>
      <c r="D107" s="114"/>
      <c r="I107" s="33" t="str">
        <f t="shared" si="1"/>
        <v/>
      </c>
    </row>
    <row r="108">
      <c r="A108" s="67" t="b">
        <v>0</v>
      </c>
      <c r="B108" s="115" t="str">
        <f>IF(spese!A108="i",spese!B108,"")</f>
        <v/>
      </c>
      <c r="C108" s="116" t="str">
        <f>IF(spese!A108="i",spese!C108,"")</f>
        <v/>
      </c>
      <c r="D108" s="114"/>
      <c r="I108" s="33" t="str">
        <f t="shared" si="1"/>
        <v/>
      </c>
    </row>
    <row r="109">
      <c r="A109" s="67" t="b">
        <v>0</v>
      </c>
      <c r="B109" s="115" t="str">
        <f>IF(spese!A109="i",spese!B109,"")</f>
        <v/>
      </c>
      <c r="C109" s="116" t="str">
        <f>IF(spese!A109="i",spese!C109,"")</f>
        <v/>
      </c>
      <c r="D109" s="114"/>
      <c r="I109" s="33" t="str">
        <f t="shared" si="1"/>
        <v/>
      </c>
    </row>
    <row r="110">
      <c r="A110" s="67" t="b">
        <v>0</v>
      </c>
      <c r="B110" s="115" t="str">
        <f>IF(spese!A110="i",spese!B110,"")</f>
        <v/>
      </c>
      <c r="C110" s="116" t="str">
        <f>IF(spese!A110="i",spese!C110,"")</f>
        <v/>
      </c>
      <c r="D110" s="114"/>
      <c r="I110" s="33" t="str">
        <f t="shared" si="1"/>
        <v/>
      </c>
    </row>
    <row r="111">
      <c r="A111" s="67" t="b">
        <v>0</v>
      </c>
      <c r="B111" s="115" t="str">
        <f>IF(spese!A111="i",spese!B111,"")</f>
        <v/>
      </c>
      <c r="C111" s="116" t="str">
        <f>IF(spese!A111="i",spese!C111,"")</f>
        <v/>
      </c>
      <c r="D111" s="114"/>
      <c r="I111" s="33" t="str">
        <f t="shared" si="1"/>
        <v/>
      </c>
    </row>
    <row r="112">
      <c r="A112" s="67" t="b">
        <v>0</v>
      </c>
      <c r="B112" s="115" t="str">
        <f>IF(spese!A112="i",spese!B112,"")</f>
        <v/>
      </c>
      <c r="C112" s="116" t="str">
        <f>IF(spese!A112="i",spese!C112,"")</f>
        <v/>
      </c>
      <c r="D112" s="114"/>
      <c r="I112" s="33" t="str">
        <f t="shared" si="1"/>
        <v/>
      </c>
    </row>
    <row r="113">
      <c r="A113" s="67" t="b">
        <v>0</v>
      </c>
      <c r="B113" s="115" t="str">
        <f>IF(spese!A113="i",spese!B113,"")</f>
        <v/>
      </c>
      <c r="C113" s="116" t="str">
        <f>IF(spese!A113="i",spese!C113,"")</f>
        <v/>
      </c>
      <c r="D113" s="114"/>
      <c r="I113" s="33" t="str">
        <f t="shared" si="1"/>
        <v/>
      </c>
    </row>
    <row r="114">
      <c r="A114" s="67" t="b">
        <v>0</v>
      </c>
      <c r="B114" s="115" t="str">
        <f>IF(spese!A114="i",spese!B114,"")</f>
        <v/>
      </c>
      <c r="C114" s="116" t="str">
        <f>IF(spese!A114="i",spese!C114,"")</f>
        <v/>
      </c>
      <c r="D114" s="114"/>
      <c r="I114" s="33" t="str">
        <f t="shared" si="1"/>
        <v/>
      </c>
    </row>
    <row r="115">
      <c r="A115" s="67" t="b">
        <v>0</v>
      </c>
      <c r="B115" s="115" t="str">
        <f>IF(spese!A115="i",spese!B115,"")</f>
        <v/>
      </c>
      <c r="C115" s="116" t="str">
        <f>IF(spese!A115="i",spese!C115,"")</f>
        <v/>
      </c>
      <c r="D115" s="114"/>
      <c r="I115" s="33" t="str">
        <f t="shared" si="1"/>
        <v/>
      </c>
    </row>
    <row r="116">
      <c r="A116" s="67" t="b">
        <v>0</v>
      </c>
      <c r="B116" s="115" t="str">
        <f>IF(spese!A116="i",spese!B116,"")</f>
        <v/>
      </c>
      <c r="C116" s="116" t="str">
        <f>IF(spese!A116="i",spese!C116,"")</f>
        <v/>
      </c>
      <c r="D116" s="114"/>
      <c r="I116" s="33" t="str">
        <f t="shared" si="1"/>
        <v/>
      </c>
    </row>
    <row r="117">
      <c r="A117" s="67" t="b">
        <v>0</v>
      </c>
      <c r="B117" s="115" t="str">
        <f>IF(spese!A117="i",spese!B117,"")</f>
        <v/>
      </c>
      <c r="C117" s="116" t="str">
        <f>IF(spese!A117="i",spese!C117,"")</f>
        <v/>
      </c>
      <c r="D117" s="114"/>
      <c r="I117" s="33" t="str">
        <f t="shared" si="1"/>
        <v/>
      </c>
    </row>
    <row r="118">
      <c r="A118" s="67" t="b">
        <v>0</v>
      </c>
      <c r="B118" s="115" t="str">
        <f>IF(spese!A118="i",spese!B118,"")</f>
        <v/>
      </c>
      <c r="C118" s="116" t="str">
        <f>IF(spese!A118="i",spese!C118,"")</f>
        <v/>
      </c>
      <c r="D118" s="114"/>
      <c r="I118" s="33" t="str">
        <f t="shared" si="1"/>
        <v/>
      </c>
    </row>
    <row r="119">
      <c r="A119" s="67" t="b">
        <v>0</v>
      </c>
      <c r="B119" s="115" t="str">
        <f>IF(spese!A119="i",spese!B119,"")</f>
        <v/>
      </c>
      <c r="C119" s="116" t="str">
        <f>IF(spese!A119="i",spese!C119,"")</f>
        <v/>
      </c>
      <c r="D119" s="114"/>
      <c r="I119" s="33" t="str">
        <f t="shared" si="1"/>
        <v/>
      </c>
    </row>
    <row r="120">
      <c r="A120" s="67" t="b">
        <v>0</v>
      </c>
      <c r="B120" s="115" t="str">
        <f>IF(spese!A120="i",spese!B120,"")</f>
        <v/>
      </c>
      <c r="C120" s="116" t="str">
        <f>IF(spese!A120="i",spese!C120,"")</f>
        <v/>
      </c>
      <c r="D120" s="114"/>
      <c r="I120" s="33" t="str">
        <f t="shared" si="1"/>
        <v/>
      </c>
    </row>
    <row r="121">
      <c r="A121" s="67" t="b">
        <v>0</v>
      </c>
      <c r="B121" s="115" t="str">
        <f>IF(spese!A121="i",spese!B121,"")</f>
        <v/>
      </c>
      <c r="C121" s="116" t="str">
        <f>IF(spese!A121="i",spese!C121,"")</f>
        <v/>
      </c>
      <c r="D121" s="114"/>
      <c r="I121" s="33" t="str">
        <f t="shared" si="1"/>
        <v/>
      </c>
    </row>
    <row r="122">
      <c r="A122" s="67" t="b">
        <v>0</v>
      </c>
      <c r="B122" s="115" t="str">
        <f>IF(spese!A122="i",spese!B122,"")</f>
        <v/>
      </c>
      <c r="C122" s="116" t="str">
        <f>IF(spese!A122="i",spese!C122,"")</f>
        <v/>
      </c>
      <c r="D122" s="114"/>
      <c r="I122" s="33" t="str">
        <f t="shared" si="1"/>
        <v/>
      </c>
    </row>
    <row r="123">
      <c r="A123" s="67" t="b">
        <v>0</v>
      </c>
      <c r="B123" s="115" t="str">
        <f>IF(spese!A123="i",spese!B123,"")</f>
        <v/>
      </c>
      <c r="C123" s="116" t="str">
        <f>IF(spese!A123="i",spese!C123,"")</f>
        <v/>
      </c>
      <c r="D123" s="114"/>
      <c r="I123" s="33" t="str">
        <f t="shared" si="1"/>
        <v/>
      </c>
    </row>
    <row r="124">
      <c r="A124" s="67" t="b">
        <v>0</v>
      </c>
      <c r="B124" s="115" t="str">
        <f>IF(spese!A124="i",spese!B124,"")</f>
        <v/>
      </c>
      <c r="C124" s="116" t="str">
        <f>IF(spese!A124="i",spese!C124,"")</f>
        <v/>
      </c>
      <c r="D124" s="114"/>
      <c r="I124" s="33" t="str">
        <f t="shared" si="1"/>
        <v/>
      </c>
    </row>
    <row r="125">
      <c r="A125" s="67" t="b">
        <v>0</v>
      </c>
      <c r="B125" s="115" t="str">
        <f>IF(spese!A125="i",spese!B125,"")</f>
        <v/>
      </c>
      <c r="C125" s="116" t="str">
        <f>IF(spese!A125="i",spese!C125,"")</f>
        <v/>
      </c>
      <c r="D125" s="114"/>
      <c r="I125" s="33" t="str">
        <f t="shared" si="1"/>
        <v/>
      </c>
    </row>
    <row r="126">
      <c r="A126" s="67" t="b">
        <v>0</v>
      </c>
      <c r="B126" s="115" t="str">
        <f>IF(spese!A126="i",spese!B126,"")</f>
        <v/>
      </c>
      <c r="C126" s="116" t="str">
        <f>IF(spese!A126="i",spese!C126,"")</f>
        <v/>
      </c>
      <c r="D126" s="114"/>
      <c r="I126" s="33" t="str">
        <f t="shared" si="1"/>
        <v/>
      </c>
    </row>
    <row r="127">
      <c r="A127" s="67" t="b">
        <v>0</v>
      </c>
      <c r="B127" s="115" t="str">
        <f>IF(spese!A127="i",spese!B127,"")</f>
        <v/>
      </c>
      <c r="C127" s="116" t="str">
        <f>IF(spese!A127="i",spese!C127,"")</f>
        <v/>
      </c>
      <c r="D127" s="114"/>
      <c r="I127" s="33" t="str">
        <f t="shared" si="1"/>
        <v/>
      </c>
    </row>
    <row r="128">
      <c r="A128" s="67" t="b">
        <v>0</v>
      </c>
      <c r="B128" s="115" t="str">
        <f>IF(spese!A128="i",spese!B128,"")</f>
        <v/>
      </c>
      <c r="C128" s="116" t="str">
        <f>IF(spese!A128="i",spese!C128,"")</f>
        <v/>
      </c>
      <c r="D128" s="114"/>
      <c r="I128" s="33" t="str">
        <f t="shared" si="1"/>
        <v/>
      </c>
    </row>
    <row r="129">
      <c r="A129" s="67" t="b">
        <v>0</v>
      </c>
      <c r="B129" s="115" t="str">
        <f>IF(spese!A129="i",spese!B129,"")</f>
        <v/>
      </c>
      <c r="C129" s="116" t="str">
        <f>IF(spese!A129="i",spese!C129,"")</f>
        <v/>
      </c>
      <c r="D129" s="114"/>
      <c r="I129" s="33" t="str">
        <f t="shared" si="1"/>
        <v/>
      </c>
    </row>
    <row r="130">
      <c r="A130" s="67" t="b">
        <v>0</v>
      </c>
      <c r="B130" s="115" t="str">
        <f>IF(spese!A130="i",spese!B130,"")</f>
        <v/>
      </c>
      <c r="C130" s="116" t="str">
        <f>IF(spese!A130="i",spese!C130,"")</f>
        <v/>
      </c>
      <c r="D130" s="114"/>
      <c r="I130" s="33" t="str">
        <f t="shared" si="1"/>
        <v/>
      </c>
    </row>
    <row r="131">
      <c r="A131" s="67" t="b">
        <v>0</v>
      </c>
      <c r="B131" s="115" t="str">
        <f>IF(spese!A131="i",spese!B131,"")</f>
        <v/>
      </c>
      <c r="C131" s="116" t="str">
        <f>IF(spese!A131="i",spese!C131,"")</f>
        <v/>
      </c>
      <c r="D131" s="114"/>
      <c r="I131" s="33" t="str">
        <f t="shared" si="1"/>
        <v/>
      </c>
    </row>
    <row r="132">
      <c r="A132" s="67" t="b">
        <v>0</v>
      </c>
      <c r="B132" s="115" t="str">
        <f>IF(spese!A132="i",spese!B132,"")</f>
        <v/>
      </c>
      <c r="C132" s="116" t="str">
        <f>IF(spese!A132="i",spese!C132,"")</f>
        <v/>
      </c>
      <c r="D132" s="114"/>
      <c r="I132" s="33" t="str">
        <f t="shared" si="1"/>
        <v/>
      </c>
    </row>
    <row r="133">
      <c r="A133" s="67" t="b">
        <v>0</v>
      </c>
      <c r="B133" s="115" t="str">
        <f>IF(spese!A133="i",spese!B133,"")</f>
        <v/>
      </c>
      <c r="C133" s="116" t="str">
        <f>IF(spese!A133="i",spese!C133,"")</f>
        <v/>
      </c>
      <c r="D133" s="114"/>
      <c r="I133" s="33" t="str">
        <f t="shared" si="1"/>
        <v/>
      </c>
    </row>
    <row r="134">
      <c r="A134" s="67" t="b">
        <v>0</v>
      </c>
      <c r="B134" s="115" t="str">
        <f>IF(spese!A134="i",spese!B134,"")</f>
        <v/>
      </c>
      <c r="C134" s="116" t="str">
        <f>IF(spese!A134="i",spese!C134,"")</f>
        <v/>
      </c>
      <c r="D134" s="114"/>
      <c r="I134" s="33" t="str">
        <f t="shared" si="1"/>
        <v/>
      </c>
    </row>
    <row r="135">
      <c r="A135" s="67" t="b">
        <v>0</v>
      </c>
      <c r="B135" s="115" t="str">
        <f>IF(spese!A135="i",spese!B135,"")</f>
        <v/>
      </c>
      <c r="C135" s="116" t="str">
        <f>IF(spese!A135="i",spese!C135,"")</f>
        <v/>
      </c>
      <c r="D135" s="114"/>
      <c r="I135" s="33" t="str">
        <f t="shared" si="1"/>
        <v/>
      </c>
    </row>
    <row r="136">
      <c r="A136" s="67" t="b">
        <v>0</v>
      </c>
      <c r="B136" s="115" t="str">
        <f>IF(spese!A136="i",spese!B136,"")</f>
        <v/>
      </c>
      <c r="C136" s="116" t="str">
        <f>IF(spese!A136="i",spese!C136,"")</f>
        <v/>
      </c>
      <c r="D136" s="114"/>
      <c r="I136" s="33" t="str">
        <f t="shared" si="1"/>
        <v/>
      </c>
    </row>
    <row r="137">
      <c r="A137" s="67" t="b">
        <v>0</v>
      </c>
      <c r="B137" s="115" t="str">
        <f>IF(spese!A137="i",spese!B137,"")</f>
        <v/>
      </c>
      <c r="C137" s="116" t="str">
        <f>IF(spese!A137="i",spese!C137,"")</f>
        <v/>
      </c>
      <c r="D137" s="114"/>
      <c r="I137" s="33" t="str">
        <f t="shared" si="1"/>
        <v/>
      </c>
    </row>
    <row r="138">
      <c r="A138" s="67" t="b">
        <v>0</v>
      </c>
      <c r="B138" s="115" t="str">
        <f>IF(spese!A138="i",spese!B138,"")</f>
        <v/>
      </c>
      <c r="C138" s="116" t="str">
        <f>IF(spese!A138="i",spese!C138,"")</f>
        <v/>
      </c>
      <c r="D138" s="114"/>
      <c r="I138" s="33" t="str">
        <f t="shared" si="1"/>
        <v/>
      </c>
    </row>
    <row r="139">
      <c r="A139" s="67" t="b">
        <v>0</v>
      </c>
      <c r="B139" s="115" t="str">
        <f>IF(spese!A139="i",spese!B139,"")</f>
        <v/>
      </c>
      <c r="C139" s="116" t="str">
        <f>IF(spese!A139="i",spese!C139,"")</f>
        <v/>
      </c>
      <c r="D139" s="114"/>
      <c r="I139" s="33" t="str">
        <f t="shared" si="1"/>
        <v/>
      </c>
    </row>
    <row r="140">
      <c r="A140" s="67" t="b">
        <v>0</v>
      </c>
      <c r="B140" s="115" t="str">
        <f>IF(spese!A140="i",spese!B140,"")</f>
        <v/>
      </c>
      <c r="C140" s="116" t="str">
        <f>IF(spese!A140="i",spese!C140,"")</f>
        <v/>
      </c>
      <c r="D140" s="114"/>
      <c r="I140" s="33" t="str">
        <f t="shared" si="1"/>
        <v/>
      </c>
    </row>
    <row r="141">
      <c r="A141" s="67" t="b">
        <v>0</v>
      </c>
      <c r="B141" s="115" t="str">
        <f>IF(spese!A141="i",spese!B141,"")</f>
        <v/>
      </c>
      <c r="C141" s="116" t="str">
        <f>IF(spese!A141="i",spese!C141,"")</f>
        <v/>
      </c>
      <c r="D141" s="114"/>
      <c r="I141" s="33" t="str">
        <f t="shared" si="1"/>
        <v/>
      </c>
    </row>
    <row r="142">
      <c r="A142" s="67" t="b">
        <v>0</v>
      </c>
      <c r="B142" s="115" t="str">
        <f>IF(spese!A142="i",spese!B142,"")</f>
        <v/>
      </c>
      <c r="C142" s="116" t="str">
        <f>IF(spese!A142="i",spese!C142,"")</f>
        <v/>
      </c>
      <c r="D142" s="114"/>
      <c r="I142" s="33" t="str">
        <f t="shared" si="1"/>
        <v/>
      </c>
    </row>
    <row r="143">
      <c r="A143" s="67" t="b">
        <v>0</v>
      </c>
      <c r="B143" s="115" t="str">
        <f>IF(spese!A143="i",spese!B143,"")</f>
        <v/>
      </c>
      <c r="C143" s="116" t="str">
        <f>IF(spese!A143="i",spese!C143,"")</f>
        <v/>
      </c>
      <c r="D143" s="114"/>
      <c r="I143" s="33" t="str">
        <f t="shared" si="1"/>
        <v/>
      </c>
    </row>
    <row r="144">
      <c r="A144" s="67" t="b">
        <v>0</v>
      </c>
      <c r="B144" s="115" t="str">
        <f>IF(spese!A144="i",spese!B144,"")</f>
        <v/>
      </c>
      <c r="C144" s="116" t="str">
        <f>IF(spese!A144="i",spese!C144,"")</f>
        <v/>
      </c>
      <c r="D144" s="114"/>
      <c r="I144" s="33" t="str">
        <f t="shared" si="1"/>
        <v/>
      </c>
    </row>
    <row r="145">
      <c r="A145" s="67" t="b">
        <v>0</v>
      </c>
      <c r="B145" s="115" t="str">
        <f>IF(spese!A145="i",spese!B145,"")</f>
        <v/>
      </c>
      <c r="C145" s="116" t="str">
        <f>IF(spese!A145="i",spese!C145,"")</f>
        <v/>
      </c>
      <c r="D145" s="114"/>
      <c r="I145" s="33" t="str">
        <f t="shared" si="1"/>
        <v/>
      </c>
    </row>
    <row r="146">
      <c r="A146" s="67" t="b">
        <v>0</v>
      </c>
      <c r="B146" s="115" t="str">
        <f>IF(spese!A146="i",spese!B146,"")</f>
        <v/>
      </c>
      <c r="C146" s="116" t="str">
        <f>IF(spese!A146="i",spese!C146,"")</f>
        <v/>
      </c>
      <c r="D146" s="114"/>
      <c r="I146" s="33" t="str">
        <f t="shared" si="1"/>
        <v/>
      </c>
    </row>
    <row r="147">
      <c r="A147" s="67" t="b">
        <v>0</v>
      </c>
      <c r="B147" s="115" t="str">
        <f>IF(spese!A147="i",spese!B147,"")</f>
        <v/>
      </c>
      <c r="C147" s="116" t="str">
        <f>IF(spese!A147="i",spese!C147,"")</f>
        <v/>
      </c>
      <c r="D147" s="114"/>
      <c r="I147" s="33" t="str">
        <f t="shared" si="1"/>
        <v/>
      </c>
    </row>
    <row r="148">
      <c r="A148" s="67" t="b">
        <v>0</v>
      </c>
      <c r="B148" s="115" t="str">
        <f>IF(spese!A148="i",spese!B148,"")</f>
        <v/>
      </c>
      <c r="C148" s="116" t="str">
        <f>IF(spese!A148="i",spese!C148,"")</f>
        <v/>
      </c>
      <c r="D148" s="114"/>
      <c r="I148" s="33" t="str">
        <f t="shared" si="1"/>
        <v/>
      </c>
    </row>
    <row r="149">
      <c r="A149" s="67" t="b">
        <v>0</v>
      </c>
      <c r="B149" s="115" t="str">
        <f>IF(spese!A149="i",spese!B149,"")</f>
        <v/>
      </c>
      <c r="C149" s="116" t="str">
        <f>IF(spese!A149="i",spese!C149,"")</f>
        <v/>
      </c>
      <c r="D149" s="114"/>
      <c r="I149" s="33" t="str">
        <f t="shared" si="1"/>
        <v/>
      </c>
    </row>
    <row r="150">
      <c r="A150" s="67" t="b">
        <v>0</v>
      </c>
      <c r="B150" s="115" t="str">
        <f>IF(spese!A150="i",spese!B150,"")</f>
        <v/>
      </c>
      <c r="C150" s="116" t="str">
        <f>IF(spese!A150="i",spese!C150,"")</f>
        <v/>
      </c>
      <c r="D150" s="114"/>
      <c r="I150" s="33" t="str">
        <f t="shared" si="1"/>
        <v/>
      </c>
    </row>
    <row r="151">
      <c r="A151" s="67" t="b">
        <v>0</v>
      </c>
      <c r="B151" s="115" t="str">
        <f>IF(spese!A151="i",spese!B151,"")</f>
        <v/>
      </c>
      <c r="C151" s="116" t="str">
        <f>IF(spese!A151="i",spese!C151,"")</f>
        <v/>
      </c>
      <c r="D151" s="114"/>
      <c r="I151" s="33" t="str">
        <f t="shared" si="1"/>
        <v/>
      </c>
    </row>
    <row r="152">
      <c r="A152" s="67" t="b">
        <v>0</v>
      </c>
      <c r="B152" s="115" t="str">
        <f>IF(spese!A152="i",spese!B152,"")</f>
        <v/>
      </c>
      <c r="C152" s="116" t="str">
        <f>IF(spese!A152="i",spese!C152,"")</f>
        <v/>
      </c>
      <c r="D152" s="114"/>
      <c r="I152" s="33" t="str">
        <f t="shared" si="1"/>
        <v/>
      </c>
    </row>
    <row r="153">
      <c r="A153" s="67" t="b">
        <v>0</v>
      </c>
      <c r="B153" s="115" t="str">
        <f>IF(spese!A153="i",spese!B153,"")</f>
        <v/>
      </c>
      <c r="C153" s="116" t="str">
        <f>IF(spese!A153="i",spese!C153,"")</f>
        <v/>
      </c>
      <c r="D153" s="114"/>
      <c r="I153" s="33" t="str">
        <f t="shared" si="1"/>
        <v/>
      </c>
    </row>
    <row r="154">
      <c r="A154" s="67" t="b">
        <v>0</v>
      </c>
      <c r="B154" s="115" t="str">
        <f>IF(spese!A154="i",spese!B154,"")</f>
        <v/>
      </c>
      <c r="C154" s="116" t="str">
        <f>IF(spese!A154="i",spese!C154,"")</f>
        <v/>
      </c>
      <c r="D154" s="114"/>
      <c r="I154" s="33" t="str">
        <f t="shared" si="1"/>
        <v/>
      </c>
    </row>
    <row r="155">
      <c r="A155" s="67" t="b">
        <v>0</v>
      </c>
      <c r="B155" s="115" t="str">
        <f>IF(spese!A155="i",spese!B155,"")</f>
        <v/>
      </c>
      <c r="C155" s="116" t="str">
        <f>IF(spese!A155="i",spese!C155,"")</f>
        <v/>
      </c>
      <c r="D155" s="114"/>
      <c r="I155" s="33" t="str">
        <f t="shared" si="1"/>
        <v/>
      </c>
    </row>
    <row r="156">
      <c r="A156" s="67" t="b">
        <v>0</v>
      </c>
      <c r="B156" s="115" t="str">
        <f>IF(spese!A156="i",spese!B156,"")</f>
        <v/>
      </c>
      <c r="C156" s="116" t="str">
        <f>IF(spese!A156="i",spese!C156,"")</f>
        <v/>
      </c>
      <c r="D156" s="114"/>
      <c r="I156" s="33" t="str">
        <f t="shared" si="1"/>
        <v/>
      </c>
    </row>
    <row r="157">
      <c r="A157" s="67" t="b">
        <v>0</v>
      </c>
      <c r="B157" s="115" t="str">
        <f>IF(spese!A157="i",spese!B157,"")</f>
        <v/>
      </c>
      <c r="C157" s="116" t="str">
        <f>IF(spese!A157="i",spese!C157,"")</f>
        <v/>
      </c>
      <c r="D157" s="114"/>
      <c r="I157" s="33" t="str">
        <f t="shared" si="1"/>
        <v/>
      </c>
    </row>
    <row r="158">
      <c r="A158" s="67" t="b">
        <v>0</v>
      </c>
      <c r="B158" s="115" t="str">
        <f>IF(spese!A158="i",spese!B158,"")</f>
        <v/>
      </c>
      <c r="C158" s="116" t="str">
        <f>IF(spese!A158="i",spese!C158,"")</f>
        <v/>
      </c>
      <c r="D158" s="114"/>
      <c r="I158" s="33" t="str">
        <f t="shared" si="1"/>
        <v/>
      </c>
    </row>
    <row r="159">
      <c r="A159" s="67" t="b">
        <v>0</v>
      </c>
      <c r="B159" s="115" t="str">
        <f>IF(spese!A159="i",spese!B159,"")</f>
        <v/>
      </c>
      <c r="C159" s="116" t="str">
        <f>IF(spese!A159="i",spese!C159,"")</f>
        <v/>
      </c>
      <c r="D159" s="114"/>
      <c r="I159" s="33" t="str">
        <f t="shared" si="1"/>
        <v/>
      </c>
    </row>
    <row r="160">
      <c r="A160" s="67" t="b">
        <v>0</v>
      </c>
      <c r="B160" s="115" t="str">
        <f>IF(spese!A160="i",spese!B160,"")</f>
        <v/>
      </c>
      <c r="C160" s="116" t="str">
        <f>IF(spese!A160="i",spese!C160,"")</f>
        <v/>
      </c>
      <c r="D160" s="114"/>
      <c r="I160" s="33" t="str">
        <f t="shared" si="1"/>
        <v/>
      </c>
    </row>
    <row r="161">
      <c r="A161" s="67" t="b">
        <v>0</v>
      </c>
      <c r="B161" s="115" t="str">
        <f>IF(spese!A161="i",spese!B161,"")</f>
        <v/>
      </c>
      <c r="C161" s="116" t="str">
        <f>IF(spese!A161="i",spese!C161,"")</f>
        <v/>
      </c>
      <c r="D161" s="114"/>
      <c r="I161" s="33" t="str">
        <f t="shared" si="1"/>
        <v/>
      </c>
    </row>
    <row r="162">
      <c r="A162" s="67" t="b">
        <v>0</v>
      </c>
      <c r="B162" s="115" t="str">
        <f>IF(spese!A162="i",spese!B162,"")</f>
        <v/>
      </c>
      <c r="C162" s="116" t="str">
        <f>IF(spese!A162="i",spese!C162,"")</f>
        <v/>
      </c>
      <c r="D162" s="114"/>
      <c r="I162" s="33" t="str">
        <f t="shared" si="1"/>
        <v/>
      </c>
    </row>
    <row r="163">
      <c r="A163" s="67" t="b">
        <v>0</v>
      </c>
      <c r="B163" s="115" t="str">
        <f>IF(spese!A163="i",spese!B163,"")</f>
        <v/>
      </c>
      <c r="C163" s="116" t="str">
        <f>IF(spese!A163="i",spese!C163,"")</f>
        <v/>
      </c>
      <c r="D163" s="114"/>
      <c r="I163" s="33" t="str">
        <f t="shared" si="1"/>
        <v/>
      </c>
    </row>
    <row r="164">
      <c r="A164" s="67" t="b">
        <v>0</v>
      </c>
      <c r="B164" s="115" t="str">
        <f>IF(spese!A164="i",spese!B164,"")</f>
        <v/>
      </c>
      <c r="C164" s="116" t="str">
        <f>IF(spese!A164="i",spese!C164,"")</f>
        <v/>
      </c>
      <c r="D164" s="114"/>
      <c r="I164" s="33" t="str">
        <f t="shared" si="1"/>
        <v/>
      </c>
    </row>
    <row r="165">
      <c r="A165" s="67" t="b">
        <v>0</v>
      </c>
      <c r="B165" s="115" t="str">
        <f>IF(spese!A165="i",spese!B165,"")</f>
        <v/>
      </c>
      <c r="C165" s="116" t="str">
        <f>IF(spese!A165="i",spese!C165,"")</f>
        <v/>
      </c>
      <c r="D165" s="114"/>
      <c r="I165" s="33" t="str">
        <f t="shared" si="1"/>
        <v/>
      </c>
    </row>
    <row r="166">
      <c r="A166" s="67" t="b">
        <v>0</v>
      </c>
      <c r="B166" s="115" t="str">
        <f>IF(spese!A166="i",spese!B166,"")</f>
        <v/>
      </c>
      <c r="C166" s="116" t="str">
        <f>IF(spese!A166="i",spese!C166,"")</f>
        <v/>
      </c>
      <c r="D166" s="114"/>
      <c r="I166" s="33" t="str">
        <f t="shared" si="1"/>
        <v/>
      </c>
    </row>
    <row r="167">
      <c r="A167" s="67" t="b">
        <v>0</v>
      </c>
      <c r="B167" s="115" t="str">
        <f>IF(spese!A167="i",spese!B167,"")</f>
        <v/>
      </c>
      <c r="C167" s="116" t="str">
        <f>IF(spese!A167="i",spese!C167,"")</f>
        <v/>
      </c>
      <c r="D167" s="114"/>
      <c r="I167" s="33" t="str">
        <f t="shared" si="1"/>
        <v/>
      </c>
    </row>
    <row r="168">
      <c r="A168" s="67" t="b">
        <v>0</v>
      </c>
      <c r="B168" s="115" t="str">
        <f>IF(spese!A168="i",spese!B168,"")</f>
        <v/>
      </c>
      <c r="C168" s="116" t="str">
        <f>IF(spese!A168="i",spese!C168,"")</f>
        <v/>
      </c>
      <c r="D168" s="114"/>
      <c r="I168" s="33" t="str">
        <f t="shared" si="1"/>
        <v/>
      </c>
    </row>
    <row r="169">
      <c r="A169" s="67" t="b">
        <v>0</v>
      </c>
      <c r="B169" s="115" t="str">
        <f>IF(spese!A169="i",spese!B169,"")</f>
        <v/>
      </c>
      <c r="C169" s="116" t="str">
        <f>IF(spese!A169="i",spese!C169,"")</f>
        <v/>
      </c>
      <c r="D169" s="114"/>
      <c r="I169" s="33" t="str">
        <f t="shared" si="1"/>
        <v/>
      </c>
    </row>
    <row r="170">
      <c r="A170" s="67" t="b">
        <v>0</v>
      </c>
      <c r="B170" s="115" t="str">
        <f>IF(spese!A170="i",spese!B170,"")</f>
        <v/>
      </c>
      <c r="C170" s="116" t="str">
        <f>IF(spese!A170="i",spese!C170,"")</f>
        <v/>
      </c>
      <c r="D170" s="114"/>
      <c r="I170" s="33" t="str">
        <f t="shared" si="1"/>
        <v/>
      </c>
    </row>
    <row r="171">
      <c r="A171" s="67" t="b">
        <v>0</v>
      </c>
      <c r="B171" s="115" t="str">
        <f>IF(spese!A171="i",spese!B171,"")</f>
        <v/>
      </c>
      <c r="C171" s="116" t="str">
        <f>IF(spese!A171="i",spese!C171,"")</f>
        <v/>
      </c>
      <c r="D171" s="114"/>
      <c r="I171" s="33" t="str">
        <f t="shared" si="1"/>
        <v/>
      </c>
    </row>
    <row r="172">
      <c r="A172" s="67" t="b">
        <v>0</v>
      </c>
      <c r="B172" s="115" t="str">
        <f>IF(spese!A172="i",spese!B172,"")</f>
        <v/>
      </c>
      <c r="C172" s="116" t="str">
        <f>IF(spese!A172="i",spese!C172,"")</f>
        <v/>
      </c>
      <c r="D172" s="114"/>
      <c r="I172" s="33" t="str">
        <f t="shared" si="1"/>
        <v/>
      </c>
    </row>
    <row r="173">
      <c r="A173" s="67" t="b">
        <v>0</v>
      </c>
      <c r="B173" s="115" t="str">
        <f>IF(spese!A173="i",spese!B173,"")</f>
        <v/>
      </c>
      <c r="C173" s="116" t="str">
        <f>IF(spese!A173="i",spese!C173,"")</f>
        <v/>
      </c>
      <c r="D173" s="114"/>
      <c r="I173" s="33" t="str">
        <f t="shared" si="1"/>
        <v/>
      </c>
    </row>
    <row r="174">
      <c r="A174" s="67" t="b">
        <v>0</v>
      </c>
      <c r="B174" s="115" t="str">
        <f>IF(spese!A174="i",spese!B174,"")</f>
        <v/>
      </c>
      <c r="C174" s="116" t="str">
        <f>IF(spese!A174="i",spese!C174,"")</f>
        <v/>
      </c>
      <c r="D174" s="114"/>
      <c r="I174" s="33" t="str">
        <f t="shared" si="1"/>
        <v/>
      </c>
    </row>
    <row r="175">
      <c r="A175" s="67" t="b">
        <v>0</v>
      </c>
      <c r="B175" s="115" t="str">
        <f>IF(spese!A175="i",spese!B175,"")</f>
        <v/>
      </c>
      <c r="C175" s="116" t="str">
        <f>IF(spese!A175="i",spese!C175,"")</f>
        <v/>
      </c>
      <c r="D175" s="114"/>
      <c r="I175" s="33" t="str">
        <f t="shared" si="1"/>
        <v/>
      </c>
    </row>
    <row r="176">
      <c r="A176" s="67" t="b">
        <v>0</v>
      </c>
      <c r="B176" s="115" t="str">
        <f>IF(spese!A176="i",spese!B176,"")</f>
        <v/>
      </c>
      <c r="C176" s="116" t="str">
        <f>IF(spese!A176="i",spese!C176,"")</f>
        <v/>
      </c>
      <c r="D176" s="114"/>
      <c r="I176" s="33" t="str">
        <f t="shared" si="1"/>
        <v/>
      </c>
    </row>
    <row r="177">
      <c r="A177" s="67" t="b">
        <v>0</v>
      </c>
      <c r="B177" s="115" t="str">
        <f>IF(spese!A177="i",spese!B177,"")</f>
        <v/>
      </c>
      <c r="C177" s="116" t="str">
        <f>IF(spese!A177="i",spese!C177,"")</f>
        <v/>
      </c>
      <c r="D177" s="114"/>
      <c r="I177" s="33" t="str">
        <f t="shared" si="1"/>
        <v/>
      </c>
    </row>
    <row r="178">
      <c r="A178" s="67" t="b">
        <v>0</v>
      </c>
      <c r="B178" s="115" t="str">
        <f>IF(spese!A178="i",spese!B178,"")</f>
        <v/>
      </c>
      <c r="C178" s="116" t="str">
        <f>IF(spese!A178="i",spese!C178,"")</f>
        <v/>
      </c>
      <c r="D178" s="114"/>
      <c r="I178" s="33" t="str">
        <f t="shared" si="1"/>
        <v/>
      </c>
    </row>
    <row r="179">
      <c r="A179" s="67" t="b">
        <v>0</v>
      </c>
      <c r="B179" s="115" t="str">
        <f>IF(spese!A179="i",spese!B179,"")</f>
        <v/>
      </c>
      <c r="C179" s="116" t="str">
        <f>IF(spese!A179="i",spese!C179,"")</f>
        <v/>
      </c>
      <c r="D179" s="114"/>
      <c r="I179" s="33" t="str">
        <f t="shared" si="1"/>
        <v/>
      </c>
    </row>
    <row r="180">
      <c r="A180" s="67" t="b">
        <v>0</v>
      </c>
      <c r="B180" s="115" t="str">
        <f>IF(spese!A180="i",spese!B180,"")</f>
        <v/>
      </c>
      <c r="C180" s="116" t="str">
        <f>IF(spese!A180="i",spese!C180,"")</f>
        <v/>
      </c>
      <c r="D180" s="114"/>
      <c r="I180" s="33" t="str">
        <f t="shared" si="1"/>
        <v/>
      </c>
    </row>
    <row r="181">
      <c r="A181" s="67" t="b">
        <v>0</v>
      </c>
      <c r="B181" s="115" t="str">
        <f>IF(spese!A181="i",spese!B181,"")</f>
        <v/>
      </c>
      <c r="C181" s="116" t="str">
        <f>IF(spese!A181="i",spese!C181,"")</f>
        <v/>
      </c>
      <c r="D181" s="114"/>
      <c r="I181" s="33" t="str">
        <f t="shared" si="1"/>
        <v/>
      </c>
    </row>
    <row r="182">
      <c r="A182" s="67" t="b">
        <v>0</v>
      </c>
      <c r="B182" s="115" t="str">
        <f>IF(spese!A182="i",spese!B182,"")</f>
        <v/>
      </c>
      <c r="C182" s="116" t="str">
        <f>IF(spese!A182="i",spese!C182,"")</f>
        <v/>
      </c>
      <c r="D182" s="114"/>
      <c r="I182" s="33" t="str">
        <f t="shared" si="1"/>
        <v/>
      </c>
    </row>
    <row r="183">
      <c r="A183" s="67" t="b">
        <v>0</v>
      </c>
      <c r="B183" s="115" t="str">
        <f>IF(spese!A183="i",spese!B183,"")</f>
        <v/>
      </c>
      <c r="C183" s="116" t="str">
        <f>IF(spese!A183="i",spese!C183,"")</f>
        <v/>
      </c>
      <c r="D183" s="114"/>
      <c r="I183" s="33" t="str">
        <f t="shared" si="1"/>
        <v/>
      </c>
    </row>
    <row r="184">
      <c r="A184" s="67" t="b">
        <v>0</v>
      </c>
      <c r="B184" s="115" t="str">
        <f>IF(spese!A184="i",spese!B184,"")</f>
        <v/>
      </c>
      <c r="C184" s="116" t="str">
        <f>IF(spese!A184="i",spese!C184,"")</f>
        <v/>
      </c>
      <c r="D184" s="114"/>
      <c r="I184" s="33" t="str">
        <f t="shared" si="1"/>
        <v/>
      </c>
    </row>
    <row r="185">
      <c r="A185" s="67" t="b">
        <v>0</v>
      </c>
      <c r="B185" s="115" t="str">
        <f>IF(spese!A185="i",spese!B185,"")</f>
        <v/>
      </c>
      <c r="C185" s="116" t="str">
        <f>IF(spese!A185="i",spese!C185,"")</f>
        <v/>
      </c>
      <c r="D185" s="114"/>
      <c r="I185" s="33" t="str">
        <f t="shared" si="1"/>
        <v/>
      </c>
    </row>
    <row r="186">
      <c r="A186" s="67" t="b">
        <v>0</v>
      </c>
      <c r="B186" s="115" t="str">
        <f>IF(spese!A186="i",spese!B186,"")</f>
        <v/>
      </c>
      <c r="C186" s="116" t="str">
        <f>IF(spese!A186="i",spese!C186,"")</f>
        <v/>
      </c>
      <c r="D186" s="114"/>
      <c r="I186" s="33" t="str">
        <f t="shared" si="1"/>
        <v/>
      </c>
    </row>
    <row r="187">
      <c r="A187" s="67" t="b">
        <v>0</v>
      </c>
      <c r="B187" s="115" t="str">
        <f>IF(spese!A187="i",spese!B187,"")</f>
        <v/>
      </c>
      <c r="C187" s="116" t="str">
        <f>IF(spese!A187="i",spese!C187,"")</f>
        <v/>
      </c>
      <c r="D187" s="114"/>
      <c r="I187" s="33" t="str">
        <f t="shared" si="1"/>
        <v/>
      </c>
    </row>
    <row r="188">
      <c r="A188" s="67" t="b">
        <v>0</v>
      </c>
      <c r="B188" s="115" t="str">
        <f>IF(spese!A188="i",spese!B188,"")</f>
        <v/>
      </c>
      <c r="C188" s="116" t="str">
        <f>IF(spese!A188="i",spese!C188,"")</f>
        <v/>
      </c>
      <c r="D188" s="114"/>
      <c r="I188" s="33" t="str">
        <f t="shared" si="1"/>
        <v/>
      </c>
    </row>
    <row r="189">
      <c r="A189" s="67" t="b">
        <v>0</v>
      </c>
      <c r="B189" s="115" t="str">
        <f>IF(spese!A189="i",spese!B189,"")</f>
        <v/>
      </c>
      <c r="C189" s="116" t="str">
        <f>IF(spese!A189="i",spese!C189,"")</f>
        <v/>
      </c>
      <c r="D189" s="114"/>
      <c r="I189" s="33" t="str">
        <f t="shared" si="1"/>
        <v/>
      </c>
    </row>
    <row r="190">
      <c r="A190" s="67" t="b">
        <v>0</v>
      </c>
      <c r="B190" s="115" t="str">
        <f>IF(spese!A190="i",spese!B190,"")</f>
        <v/>
      </c>
      <c r="C190" s="116" t="str">
        <f>IF(spese!A190="i",spese!C190,"")</f>
        <v/>
      </c>
      <c r="D190" s="114"/>
      <c r="I190" s="33" t="str">
        <f t="shared" si="1"/>
        <v/>
      </c>
    </row>
    <row r="191">
      <c r="A191" s="67" t="b">
        <v>0</v>
      </c>
      <c r="B191" s="115" t="str">
        <f>IF(spese!A191="i",spese!B191,"")</f>
        <v/>
      </c>
      <c r="C191" s="116" t="str">
        <f>IF(spese!A191="i",spese!C191,"")</f>
        <v/>
      </c>
      <c r="D191" s="114"/>
      <c r="I191" s="33" t="str">
        <f t="shared" si="1"/>
        <v/>
      </c>
    </row>
    <row r="192">
      <c r="A192" s="67" t="b">
        <v>0</v>
      </c>
      <c r="B192" s="115" t="str">
        <f>IF(spese!A192="i",spese!B192,"")</f>
        <v/>
      </c>
      <c r="C192" s="116" t="str">
        <f>IF(spese!A192="i",spese!C192,"")</f>
        <v/>
      </c>
      <c r="D192" s="114"/>
      <c r="I192" s="33" t="str">
        <f t="shared" si="1"/>
        <v/>
      </c>
    </row>
    <row r="193">
      <c r="A193" s="67" t="b">
        <v>0</v>
      </c>
      <c r="B193" s="115" t="str">
        <f>IF(spese!A193="i",spese!B193,"")</f>
        <v/>
      </c>
      <c r="C193" s="116" t="str">
        <f>IF(spese!A193="i",spese!C193,"")</f>
        <v/>
      </c>
      <c r="D193" s="114"/>
      <c r="I193" s="33" t="str">
        <f t="shared" si="1"/>
        <v/>
      </c>
    </row>
    <row r="194">
      <c r="A194" s="67" t="b">
        <v>0</v>
      </c>
      <c r="B194" s="115" t="str">
        <f>IF(spese!A194="i",spese!B194,"")</f>
        <v/>
      </c>
      <c r="C194" s="116" t="str">
        <f>IF(spese!A194="i",spese!C194,"")</f>
        <v/>
      </c>
      <c r="D194" s="114"/>
      <c r="I194" s="33" t="str">
        <f t="shared" si="1"/>
        <v/>
      </c>
    </row>
    <row r="195">
      <c r="A195" s="67" t="b">
        <v>0</v>
      </c>
      <c r="B195" s="115" t="str">
        <f>IF(spese!A195="i",spese!B195,"")</f>
        <v/>
      </c>
      <c r="C195" s="116" t="str">
        <f>IF(spese!A195="i",spese!C195,"")</f>
        <v/>
      </c>
      <c r="D195" s="114"/>
      <c r="I195" s="33" t="str">
        <f t="shared" si="1"/>
        <v/>
      </c>
    </row>
    <row r="196">
      <c r="A196" s="67" t="b">
        <v>0</v>
      </c>
      <c r="B196" s="115" t="str">
        <f>IF(spese!A196="i",spese!B196,"")</f>
        <v/>
      </c>
      <c r="C196" s="116" t="str">
        <f>IF(spese!A196="i",spese!C196,"")</f>
        <v/>
      </c>
      <c r="D196" s="114"/>
      <c r="I196" s="33" t="str">
        <f t="shared" si="1"/>
        <v/>
      </c>
    </row>
    <row r="197">
      <c r="A197" s="67" t="b">
        <v>0</v>
      </c>
      <c r="B197" s="115" t="str">
        <f>IF(spese!A197="i",spese!B197,"")</f>
        <v/>
      </c>
      <c r="C197" s="116" t="str">
        <f>IF(spese!A197="i",spese!C197,"")</f>
        <v/>
      </c>
      <c r="D197" s="114"/>
      <c r="I197" s="33" t="str">
        <f t="shared" si="1"/>
        <v/>
      </c>
    </row>
    <row r="198">
      <c r="A198" s="67" t="b">
        <v>0</v>
      </c>
      <c r="B198" s="115" t="str">
        <f>IF(spese!A198="i",spese!B198,"")</f>
        <v/>
      </c>
      <c r="C198" s="116" t="str">
        <f>IF(spese!A198="i",spese!C198,"")</f>
        <v/>
      </c>
      <c r="D198" s="114"/>
      <c r="I198" s="33" t="str">
        <f t="shared" si="1"/>
        <v/>
      </c>
    </row>
    <row r="199">
      <c r="A199" s="67" t="b">
        <v>0</v>
      </c>
      <c r="B199" s="115" t="str">
        <f>IF(spese!A199="i",spese!B199,"")</f>
        <v/>
      </c>
      <c r="C199" s="116" t="str">
        <f>IF(spese!A199="i",spese!C199,"")</f>
        <v/>
      </c>
      <c r="D199" s="114"/>
      <c r="I199" s="33" t="str">
        <f t="shared" si="1"/>
        <v/>
      </c>
    </row>
    <row r="200">
      <c r="A200" s="67" t="b">
        <v>0</v>
      </c>
      <c r="B200" s="115" t="str">
        <f>IF(spese!A200="i",spese!B200,"")</f>
        <v/>
      </c>
      <c r="C200" s="116" t="str">
        <f>IF(spese!A200="i",spese!C200,"")</f>
        <v/>
      </c>
      <c r="D200" s="114"/>
      <c r="I200" s="33" t="str">
        <f t="shared" si="1"/>
        <v/>
      </c>
    </row>
    <row r="201">
      <c r="A201" s="67" t="b">
        <v>0</v>
      </c>
      <c r="B201" s="115" t="str">
        <f>IF(spese!A201="i",spese!B201,"")</f>
        <v/>
      </c>
      <c r="C201" s="116" t="str">
        <f>IF(spese!A201="i",spese!C201,"")</f>
        <v/>
      </c>
      <c r="D201" s="114"/>
      <c r="I201" s="33" t="str">
        <f t="shared" si="1"/>
        <v/>
      </c>
    </row>
    <row r="202">
      <c r="A202" s="67" t="b">
        <v>0</v>
      </c>
      <c r="B202" s="115" t="str">
        <f>IF(spese!A202="i",spese!B202,"")</f>
        <v/>
      </c>
      <c r="C202" s="116" t="str">
        <f>IF(spese!A202="i",spese!C202,"")</f>
        <v/>
      </c>
      <c r="D202" s="114"/>
      <c r="I202" s="33" t="str">
        <f t="shared" si="1"/>
        <v/>
      </c>
    </row>
    <row r="203">
      <c r="A203" s="67" t="b">
        <v>0</v>
      </c>
      <c r="B203" s="115" t="str">
        <f>IF(spese!A203="i",spese!B203,"")</f>
        <v/>
      </c>
      <c r="C203" s="116" t="str">
        <f>IF(spese!A203="i",spese!C203,"")</f>
        <v/>
      </c>
      <c r="D203" s="114"/>
      <c r="I203" s="33" t="str">
        <f t="shared" si="1"/>
        <v/>
      </c>
    </row>
    <row r="204">
      <c r="A204" s="67" t="b">
        <v>0</v>
      </c>
      <c r="B204" s="115" t="str">
        <f>IF(spese!A204="i",spese!B204,"")</f>
        <v/>
      </c>
      <c r="C204" s="116" t="str">
        <f>IF(spese!A204="i",spese!C204,"")</f>
        <v/>
      </c>
      <c r="D204" s="114"/>
      <c r="I204" s="33" t="str">
        <f t="shared" si="1"/>
        <v/>
      </c>
    </row>
    <row r="205">
      <c r="A205" s="67" t="b">
        <v>0</v>
      </c>
      <c r="B205" s="115" t="str">
        <f>IF(spese!A205="i",spese!B205,"")</f>
        <v/>
      </c>
      <c r="C205" s="116" t="str">
        <f>IF(spese!A205="i",spese!C205,"")</f>
        <v/>
      </c>
      <c r="D205" s="114"/>
      <c r="I205" s="33" t="str">
        <f t="shared" si="1"/>
        <v/>
      </c>
    </row>
    <row r="206">
      <c r="A206" s="67" t="b">
        <v>0</v>
      </c>
      <c r="B206" s="115" t="str">
        <f>IF(spese!A206="i",spese!B206,"")</f>
        <v/>
      </c>
      <c r="C206" s="116" t="str">
        <f>IF(spese!A206="i",spese!C206,"")</f>
        <v/>
      </c>
      <c r="D206" s="114"/>
      <c r="I206" s="33" t="str">
        <f t="shared" si="1"/>
        <v/>
      </c>
    </row>
    <row r="207">
      <c r="A207" s="67" t="b">
        <v>0</v>
      </c>
      <c r="B207" s="115" t="str">
        <f>IF(spese!A207="i",spese!B207,"")</f>
        <v/>
      </c>
      <c r="C207" s="116" t="str">
        <f>IF(spese!A207="i",spese!C207,"")</f>
        <v/>
      </c>
      <c r="D207" s="114"/>
      <c r="I207" s="33" t="str">
        <f t="shared" si="1"/>
        <v/>
      </c>
    </row>
    <row r="208">
      <c r="A208" s="67" t="b">
        <v>0</v>
      </c>
      <c r="B208" s="115" t="str">
        <f>IF(spese!A208="i",spese!B208,"")</f>
        <v/>
      </c>
      <c r="C208" s="116" t="str">
        <f>IF(spese!A208="i",spese!C208,"")</f>
        <v/>
      </c>
      <c r="D208" s="114"/>
      <c r="I208" s="33" t="str">
        <f t="shared" si="1"/>
        <v/>
      </c>
    </row>
    <row r="209">
      <c r="A209" s="67" t="b">
        <v>0</v>
      </c>
      <c r="B209" s="115" t="str">
        <f>IF(spese!A209="i",spese!B209,"")</f>
        <v/>
      </c>
      <c r="C209" s="116" t="str">
        <f>IF(spese!A209="i",spese!C209,"")</f>
        <v/>
      </c>
      <c r="D209" s="114"/>
      <c r="I209" s="33" t="str">
        <f t="shared" si="1"/>
        <v/>
      </c>
    </row>
    <row r="210">
      <c r="A210" s="67" t="b">
        <v>0</v>
      </c>
      <c r="B210" s="115" t="str">
        <f>IF(spese!A210="i",spese!B210,"")</f>
        <v/>
      </c>
      <c r="C210" s="116" t="str">
        <f>IF(spese!A210="i",spese!C210,"")</f>
        <v/>
      </c>
      <c r="D210" s="114"/>
      <c r="I210" s="33" t="str">
        <f t="shared" si="1"/>
        <v/>
      </c>
    </row>
    <row r="211">
      <c r="A211" s="67" t="b">
        <v>0</v>
      </c>
      <c r="B211" s="115" t="str">
        <f>IF(spese!A211="i",spese!B211,"")</f>
        <v/>
      </c>
      <c r="C211" s="116" t="str">
        <f>IF(spese!A211="i",spese!C211,"")</f>
        <v/>
      </c>
      <c r="D211" s="114"/>
      <c r="I211" s="33" t="str">
        <f t="shared" si="1"/>
        <v/>
      </c>
    </row>
    <row r="212">
      <c r="A212" s="67" t="b">
        <v>0</v>
      </c>
      <c r="B212" s="115" t="str">
        <f>IF(spese!A212="i",spese!B212,"")</f>
        <v/>
      </c>
      <c r="C212" s="116" t="str">
        <f>IF(spese!A212="i",spese!C212,"")</f>
        <v/>
      </c>
      <c r="D212" s="114"/>
      <c r="I212" s="33" t="str">
        <f t="shared" si="1"/>
        <v/>
      </c>
    </row>
    <row r="213">
      <c r="A213" s="67" t="b">
        <v>0</v>
      </c>
      <c r="B213" s="115" t="str">
        <f>IF(spese!A213="i",spese!B213,"")</f>
        <v/>
      </c>
      <c r="C213" s="116" t="str">
        <f>IF(spese!A213="i",spese!C213,"")</f>
        <v/>
      </c>
      <c r="D213" s="114"/>
      <c r="I213" s="33" t="str">
        <f t="shared" si="1"/>
        <v/>
      </c>
    </row>
    <row r="214">
      <c r="A214" s="67" t="b">
        <v>0</v>
      </c>
      <c r="B214" s="115" t="str">
        <f>IF(spese!A214="i",spese!B214,"")</f>
        <v/>
      </c>
      <c r="C214" s="116" t="str">
        <f>IF(spese!A214="i",spese!C214,"")</f>
        <v/>
      </c>
      <c r="D214" s="114"/>
      <c r="I214" s="33" t="str">
        <f t="shared" si="1"/>
        <v/>
      </c>
    </row>
    <row r="215">
      <c r="A215" s="67" t="b">
        <v>0</v>
      </c>
      <c r="B215" s="115" t="str">
        <f>IF(spese!A215="i",spese!B215,"")</f>
        <v/>
      </c>
      <c r="C215" s="116" t="str">
        <f>IF(spese!A215="i",spese!C215,"")</f>
        <v/>
      </c>
      <c r="D215" s="114"/>
      <c r="I215" s="33" t="str">
        <f t="shared" si="1"/>
        <v/>
      </c>
    </row>
    <row r="216">
      <c r="A216" s="67" t="b">
        <v>0</v>
      </c>
      <c r="B216" s="115" t="str">
        <f>IF(spese!A216="i",spese!B216,"")</f>
        <v/>
      </c>
      <c r="C216" s="116" t="str">
        <f>IF(spese!A216="i",spese!C216,"")</f>
        <v/>
      </c>
      <c r="D216" s="114"/>
      <c r="I216" s="33" t="str">
        <f t="shared" si="1"/>
        <v/>
      </c>
    </row>
    <row r="217">
      <c r="A217" s="67" t="b">
        <v>0</v>
      </c>
      <c r="B217" s="115" t="str">
        <f>IF(spese!A217="i",spese!B217,"")</f>
        <v/>
      </c>
      <c r="C217" s="116" t="str">
        <f>IF(spese!A217="i",spese!C217,"")</f>
        <v/>
      </c>
      <c r="D217" s="114"/>
      <c r="I217" s="33" t="str">
        <f t="shared" si="1"/>
        <v/>
      </c>
    </row>
    <row r="218">
      <c r="A218" s="67" t="b">
        <v>0</v>
      </c>
      <c r="B218" s="115" t="str">
        <f>IF(spese!A218="i",spese!B218,"")</f>
        <v/>
      </c>
      <c r="C218" s="116" t="str">
        <f>IF(spese!A218="i",spese!C218,"")</f>
        <v/>
      </c>
      <c r="D218" s="114"/>
      <c r="I218" s="33" t="str">
        <f t="shared" si="1"/>
        <v/>
      </c>
    </row>
    <row r="219">
      <c r="A219" s="67" t="b">
        <v>0</v>
      </c>
      <c r="B219" s="115" t="str">
        <f>IF(spese!A219="i",spese!B219,"")</f>
        <v/>
      </c>
      <c r="C219" s="116" t="str">
        <f>IF(spese!A219="i",spese!C219,"")</f>
        <v/>
      </c>
      <c r="D219" s="114"/>
      <c r="I219" s="33" t="str">
        <f t="shared" si="1"/>
        <v/>
      </c>
    </row>
    <row r="220">
      <c r="A220" s="67" t="b">
        <v>0</v>
      </c>
      <c r="B220" s="115" t="str">
        <f>IF(spese!A220="i",spese!B220,"")</f>
        <v/>
      </c>
      <c r="C220" s="116" t="str">
        <f>IF(spese!A220="i",spese!C220,"")</f>
        <v/>
      </c>
      <c r="D220" s="114"/>
      <c r="I220" s="33" t="str">
        <f t="shared" si="1"/>
        <v/>
      </c>
    </row>
    <row r="221">
      <c r="A221" s="67" t="b">
        <v>0</v>
      </c>
      <c r="B221" s="115" t="str">
        <f>IF(spese!A221="i",spese!B221,"")</f>
        <v/>
      </c>
      <c r="C221" s="116" t="str">
        <f>IF(spese!A221="i",spese!C221,"")</f>
        <v/>
      </c>
      <c r="D221" s="114"/>
      <c r="I221" s="33" t="str">
        <f t="shared" si="1"/>
        <v/>
      </c>
    </row>
    <row r="222">
      <c r="A222" s="67" t="b">
        <v>0</v>
      </c>
      <c r="B222" s="115" t="str">
        <f>IF(spese!A222="i",spese!B222,"")</f>
        <v/>
      </c>
      <c r="C222" s="116" t="str">
        <f>IF(spese!A222="i",spese!C222,"")</f>
        <v/>
      </c>
      <c r="D222" s="114"/>
      <c r="I222" s="33" t="str">
        <f t="shared" si="1"/>
        <v/>
      </c>
    </row>
    <row r="223">
      <c r="A223" s="67" t="b">
        <v>0</v>
      </c>
      <c r="B223" s="115" t="str">
        <f>IF(spese!A223="i",spese!B223,"")</f>
        <v/>
      </c>
      <c r="C223" s="116" t="str">
        <f>IF(spese!A223="i",spese!C223,"")</f>
        <v/>
      </c>
      <c r="D223" s="114"/>
      <c r="I223" s="33" t="str">
        <f t="shared" si="1"/>
        <v/>
      </c>
    </row>
    <row r="224">
      <c r="A224" s="67" t="b">
        <v>0</v>
      </c>
      <c r="B224" s="115" t="str">
        <f>IF(spese!A224="i",spese!B224,"")</f>
        <v/>
      </c>
      <c r="C224" s="116" t="str">
        <f>IF(spese!A224="i",spese!C224,"")</f>
        <v/>
      </c>
      <c r="D224" s="114"/>
      <c r="I224" s="33" t="str">
        <f t="shared" si="1"/>
        <v/>
      </c>
    </row>
    <row r="225">
      <c r="A225" s="67" t="b">
        <v>0</v>
      </c>
      <c r="B225" s="115" t="str">
        <f>IF(spese!A225="i",spese!B225,"")</f>
        <v/>
      </c>
      <c r="C225" s="116" t="str">
        <f>IF(spese!A225="i",spese!C225,"")</f>
        <v/>
      </c>
      <c r="D225" s="114"/>
      <c r="I225" s="33" t="str">
        <f t="shared" si="1"/>
        <v/>
      </c>
    </row>
    <row r="226">
      <c r="A226" s="67" t="b">
        <v>0</v>
      </c>
      <c r="B226" s="115" t="str">
        <f>IF(spese!A226="i",spese!B226,"")</f>
        <v/>
      </c>
      <c r="C226" s="116" t="str">
        <f>IF(spese!A226="i",spese!C226,"")</f>
        <v/>
      </c>
      <c r="D226" s="114"/>
      <c r="I226" s="33" t="str">
        <f t="shared" si="1"/>
        <v/>
      </c>
    </row>
    <row r="227">
      <c r="A227" s="67" t="b">
        <v>0</v>
      </c>
      <c r="B227" s="115" t="str">
        <f>IF(spese!A227="i",spese!B227,"")</f>
        <v/>
      </c>
      <c r="C227" s="116" t="str">
        <f>IF(spese!A227="i",spese!C227,"")</f>
        <v/>
      </c>
      <c r="D227" s="114"/>
      <c r="I227" s="33" t="str">
        <f t="shared" si="1"/>
        <v/>
      </c>
    </row>
    <row r="228">
      <c r="A228" s="67" t="b">
        <v>0</v>
      </c>
      <c r="B228" s="115" t="str">
        <f>IF(spese!A228="i",spese!B228,"")</f>
        <v/>
      </c>
      <c r="C228" s="116" t="str">
        <f>IF(spese!A228="i",spese!C228,"")</f>
        <v/>
      </c>
      <c r="D228" s="114"/>
      <c r="I228" s="33" t="str">
        <f t="shared" si="1"/>
        <v/>
      </c>
    </row>
    <row r="229">
      <c r="A229" s="67" t="b">
        <v>0</v>
      </c>
      <c r="B229" s="115" t="str">
        <f>IF(spese!A229="i",spese!B229,"")</f>
        <v/>
      </c>
      <c r="C229" s="116" t="str">
        <f>IF(spese!A229="i",spese!C229,"")</f>
        <v/>
      </c>
      <c r="D229" s="114"/>
      <c r="I229" s="33" t="str">
        <f t="shared" si="1"/>
        <v/>
      </c>
    </row>
    <row r="230">
      <c r="A230" s="67" t="b">
        <v>0</v>
      </c>
      <c r="B230" s="115" t="str">
        <f>IF(spese!A230="i",spese!B230,"")</f>
        <v/>
      </c>
      <c r="C230" s="116" t="str">
        <f>IF(spese!A230="i",spese!C230,"")</f>
        <v/>
      </c>
      <c r="D230" s="114"/>
      <c r="I230" s="33" t="str">
        <f t="shared" si="1"/>
        <v/>
      </c>
    </row>
    <row r="231">
      <c r="A231" s="67" t="b">
        <v>0</v>
      </c>
      <c r="B231" s="115" t="str">
        <f>IF(spese!A231="i",spese!B231,"")</f>
        <v/>
      </c>
      <c r="C231" s="116" t="str">
        <f>IF(spese!A231="i",spese!C231,"")</f>
        <v/>
      </c>
      <c r="D231" s="114"/>
      <c r="I231" s="33" t="str">
        <f t="shared" si="1"/>
        <v/>
      </c>
    </row>
    <row r="232">
      <c r="A232" s="67" t="b">
        <v>0</v>
      </c>
      <c r="B232" s="115" t="str">
        <f>IF(spese!A232="i",spese!B232,"")</f>
        <v/>
      </c>
      <c r="C232" s="116" t="str">
        <f>IF(spese!A232="i",spese!C232,"")</f>
        <v/>
      </c>
      <c r="D232" s="114"/>
      <c r="I232" s="33" t="str">
        <f t="shared" si="1"/>
        <v/>
      </c>
    </row>
    <row r="233">
      <c r="A233" s="67" t="b">
        <v>0</v>
      </c>
      <c r="B233" s="115" t="str">
        <f>IF(spese!A233="i",spese!B233,"")</f>
        <v/>
      </c>
      <c r="C233" s="116" t="str">
        <f>IF(spese!A233="i",spese!C233,"")</f>
        <v/>
      </c>
      <c r="D233" s="114"/>
      <c r="I233" s="33" t="str">
        <f t="shared" si="1"/>
        <v/>
      </c>
    </row>
    <row r="234">
      <c r="A234" s="67" t="b">
        <v>0</v>
      </c>
      <c r="B234" s="115" t="str">
        <f>IF(spese!A234="i",spese!B234,"")</f>
        <v/>
      </c>
      <c r="C234" s="116" t="str">
        <f>IF(spese!A234="i",spese!C234,"")</f>
        <v/>
      </c>
      <c r="D234" s="114"/>
      <c r="I234" s="33" t="str">
        <f t="shared" si="1"/>
        <v/>
      </c>
    </row>
    <row r="235">
      <c r="A235" s="67" t="b">
        <v>0</v>
      </c>
      <c r="B235" s="115" t="str">
        <f>IF(spese!A235="i",spese!B235,"")</f>
        <v/>
      </c>
      <c r="C235" s="116" t="str">
        <f>IF(spese!A235="i",spese!C235,"")</f>
        <v/>
      </c>
      <c r="D235" s="114"/>
      <c r="I235" s="33" t="str">
        <f t="shared" si="1"/>
        <v/>
      </c>
    </row>
    <row r="236">
      <c r="A236" s="67" t="b">
        <v>0</v>
      </c>
      <c r="B236" s="115" t="str">
        <f>IF(spese!A236="i",spese!B236,"")</f>
        <v/>
      </c>
      <c r="C236" s="116" t="str">
        <f>IF(spese!A236="i",spese!C236,"")</f>
        <v/>
      </c>
      <c r="D236" s="114"/>
      <c r="I236" s="33" t="str">
        <f t="shared" si="1"/>
        <v/>
      </c>
    </row>
    <row r="237">
      <c r="A237" s="67" t="b">
        <v>0</v>
      </c>
      <c r="B237" s="115" t="str">
        <f>IF(spese!A237="i",spese!B237,"")</f>
        <v/>
      </c>
      <c r="C237" s="116" t="str">
        <f>IF(spese!A237="i",spese!C237,"")</f>
        <v/>
      </c>
      <c r="D237" s="114"/>
      <c r="I237" s="33" t="str">
        <f t="shared" si="1"/>
        <v/>
      </c>
    </row>
    <row r="238">
      <c r="A238" s="67" t="b">
        <v>0</v>
      </c>
      <c r="B238" s="115" t="str">
        <f>IF(spese!A238="i",spese!B238,"")</f>
        <v/>
      </c>
      <c r="C238" s="116" t="str">
        <f>IF(spese!A238="i",spese!C238,"")</f>
        <v/>
      </c>
      <c r="D238" s="114"/>
      <c r="I238" s="33" t="str">
        <f t="shared" si="1"/>
        <v/>
      </c>
    </row>
    <row r="239">
      <c r="A239" s="67" t="b">
        <v>0</v>
      </c>
      <c r="B239" s="115" t="str">
        <f>IF(spese!A239="i",spese!B239,"")</f>
        <v/>
      </c>
      <c r="C239" s="116" t="str">
        <f>IF(spese!A239="i",spese!C239,"")</f>
        <v/>
      </c>
      <c r="D239" s="114"/>
      <c r="I239" s="33" t="str">
        <f t="shared" si="1"/>
        <v/>
      </c>
    </row>
    <row r="240">
      <c r="A240" s="67" t="b">
        <v>0</v>
      </c>
      <c r="B240" s="115" t="str">
        <f>IF(spese!A240="i",spese!B240,"")</f>
        <v/>
      </c>
      <c r="C240" s="116" t="str">
        <f>IF(spese!A240="i",spese!C240,"")</f>
        <v/>
      </c>
      <c r="D240" s="114"/>
      <c r="I240" s="33" t="str">
        <f t="shared" si="1"/>
        <v/>
      </c>
    </row>
    <row r="241">
      <c r="A241" s="67" t="b">
        <v>0</v>
      </c>
      <c r="B241" s="115" t="str">
        <f>IF(spese!A241="i",spese!B241,"")</f>
        <v/>
      </c>
      <c r="C241" s="116" t="str">
        <f>IF(spese!A241="i",spese!C241,"")</f>
        <v/>
      </c>
      <c r="D241" s="114"/>
      <c r="I241" s="33" t="str">
        <f t="shared" si="1"/>
        <v/>
      </c>
    </row>
    <row r="242">
      <c r="A242" s="67" t="b">
        <v>0</v>
      </c>
      <c r="B242" s="115" t="str">
        <f>IF(spese!A242="i",spese!B242,"")</f>
        <v/>
      </c>
      <c r="C242" s="116" t="str">
        <f>IF(spese!A242="i",spese!C242,"")</f>
        <v/>
      </c>
      <c r="D242" s="114"/>
      <c r="I242" s="33" t="str">
        <f t="shared" si="1"/>
        <v/>
      </c>
    </row>
    <row r="243">
      <c r="A243" s="67" t="b">
        <v>0</v>
      </c>
      <c r="B243" s="115" t="str">
        <f>IF(spese!A243="i",spese!B243,"")</f>
        <v/>
      </c>
      <c r="C243" s="116" t="str">
        <f>IF(spese!A243="i",spese!C243,"")</f>
        <v/>
      </c>
      <c r="D243" s="114"/>
      <c r="I243" s="33" t="str">
        <f t="shared" si="1"/>
        <v/>
      </c>
    </row>
    <row r="244">
      <c r="A244" s="67" t="b">
        <v>0</v>
      </c>
      <c r="B244" s="115" t="str">
        <f>IF(spese!A244="i",spese!B244,"")</f>
        <v/>
      </c>
      <c r="C244" s="116" t="str">
        <f>IF(spese!A244="i",spese!C244,"")</f>
        <v/>
      </c>
      <c r="D244" s="114"/>
      <c r="I244" s="33" t="str">
        <f t="shared" si="1"/>
        <v/>
      </c>
    </row>
    <row r="245">
      <c r="A245" s="67" t="b">
        <v>0</v>
      </c>
      <c r="B245" s="115" t="str">
        <f>IF(spese!A245="i",spese!B245,"")</f>
        <v/>
      </c>
      <c r="C245" s="116" t="str">
        <f>IF(spese!A245="i",spese!C245,"")</f>
        <v/>
      </c>
      <c r="D245" s="114"/>
      <c r="I245" s="33" t="str">
        <f t="shared" si="1"/>
        <v/>
      </c>
    </row>
    <row r="246">
      <c r="A246" s="67" t="b">
        <v>0</v>
      </c>
      <c r="B246" s="115" t="str">
        <f>IF(spese!A246="i",spese!B246,"")</f>
        <v/>
      </c>
      <c r="C246" s="116" t="str">
        <f>IF(spese!A246="i",spese!C246,"")</f>
        <v/>
      </c>
      <c r="D246" s="114"/>
      <c r="I246" s="33" t="str">
        <f t="shared" si="1"/>
        <v/>
      </c>
    </row>
    <row r="247">
      <c r="A247" s="67" t="b">
        <v>0</v>
      </c>
      <c r="B247" s="115" t="str">
        <f>IF(spese!A247="i",spese!B247,"")</f>
        <v/>
      </c>
      <c r="C247" s="116" t="str">
        <f>IF(spese!A247="i",spese!C247,"")</f>
        <v/>
      </c>
      <c r="D247" s="114"/>
      <c r="I247" s="33" t="str">
        <f t="shared" si="1"/>
        <v/>
      </c>
    </row>
    <row r="248">
      <c r="A248" s="67" t="b">
        <v>0</v>
      </c>
      <c r="B248" s="115" t="str">
        <f>IF(spese!A248="i",spese!B248,"")</f>
        <v/>
      </c>
      <c r="C248" s="116" t="str">
        <f>IF(spese!A248="i",spese!C248,"")</f>
        <v/>
      </c>
      <c r="D248" s="114"/>
      <c r="I248" s="33" t="str">
        <f t="shared" si="1"/>
        <v/>
      </c>
    </row>
    <row r="249">
      <c r="A249" s="67" t="b">
        <v>0</v>
      </c>
      <c r="B249" s="115" t="str">
        <f>IF(spese!A249="i",spese!B249,"")</f>
        <v/>
      </c>
      <c r="C249" s="116" t="str">
        <f>IF(spese!A249="i",spese!C249,"")</f>
        <v/>
      </c>
      <c r="D249" s="114"/>
      <c r="I249" s="33" t="str">
        <f t="shared" si="1"/>
        <v/>
      </c>
    </row>
    <row r="250">
      <c r="A250" s="67" t="b">
        <v>0</v>
      </c>
      <c r="B250" s="115" t="str">
        <f>IF(spese!A250="i",spese!B250,"")</f>
        <v/>
      </c>
      <c r="C250" s="116" t="str">
        <f>IF(spese!A250="i",spese!C250,"")</f>
        <v/>
      </c>
      <c r="D250" s="114"/>
      <c r="I250" s="33" t="str">
        <f t="shared" si="1"/>
        <v/>
      </c>
    </row>
    <row r="251">
      <c r="A251" s="67" t="b">
        <v>0</v>
      </c>
      <c r="B251" s="115" t="str">
        <f>IF(spese!A251="i",spese!B251,"")</f>
        <v/>
      </c>
      <c r="C251" s="116" t="str">
        <f>IF(spese!A251="i",spese!C251,"")</f>
        <v/>
      </c>
      <c r="D251" s="114"/>
      <c r="I251" s="33" t="str">
        <f t="shared" si="1"/>
        <v/>
      </c>
    </row>
    <row r="252">
      <c r="A252" s="67" t="b">
        <v>0</v>
      </c>
      <c r="B252" s="115" t="str">
        <f>IF(spese!A252="i",spese!B252,"")</f>
        <v/>
      </c>
      <c r="C252" s="116" t="str">
        <f>IF(spese!A252="i",spese!C252,"")</f>
        <v/>
      </c>
      <c r="D252" s="114"/>
      <c r="I252" s="33" t="str">
        <f t="shared" si="1"/>
        <v/>
      </c>
    </row>
    <row r="253">
      <c r="A253" s="67" t="b">
        <v>0</v>
      </c>
      <c r="B253" s="115" t="str">
        <f>IF(spese!A253="i",spese!B253,"")</f>
        <v/>
      </c>
      <c r="C253" s="116" t="str">
        <f>IF(spese!A253="i",spese!C253,"")</f>
        <v/>
      </c>
      <c r="D253" s="114"/>
      <c r="I253" s="33" t="str">
        <f t="shared" si="1"/>
        <v/>
      </c>
    </row>
    <row r="254">
      <c r="A254" s="67" t="b">
        <v>0</v>
      </c>
      <c r="B254" s="115" t="str">
        <f>IF(spese!A254="i",spese!B254,"")</f>
        <v/>
      </c>
      <c r="C254" s="116" t="str">
        <f>IF(spese!A254="i",spese!C254,"")</f>
        <v/>
      </c>
      <c r="D254" s="114"/>
      <c r="I254" s="33" t="str">
        <f t="shared" si="1"/>
        <v/>
      </c>
    </row>
    <row r="255">
      <c r="A255" s="67" t="b">
        <v>0</v>
      </c>
      <c r="B255" s="115" t="str">
        <f>IF(spese!A255="i",spese!B255,"")</f>
        <v/>
      </c>
      <c r="C255" s="116" t="str">
        <f>IF(spese!A255="i",spese!C255,"")</f>
        <v/>
      </c>
      <c r="D255" s="114"/>
      <c r="I255" s="33" t="str">
        <f t="shared" si="1"/>
        <v/>
      </c>
    </row>
    <row r="256">
      <c r="A256" s="67" t="b">
        <v>0</v>
      </c>
      <c r="B256" s="115" t="str">
        <f>IF(spese!A256="i",spese!B256,"")</f>
        <v/>
      </c>
      <c r="C256" s="116" t="str">
        <f>IF(spese!A256="i",spese!C256,"")</f>
        <v/>
      </c>
      <c r="D256" s="114"/>
      <c r="I256" s="33" t="str">
        <f t="shared" si="1"/>
        <v/>
      </c>
    </row>
    <row r="257">
      <c r="A257" s="67" t="b">
        <v>0</v>
      </c>
      <c r="B257" s="115" t="str">
        <f>IF(spese!A257="i",spese!B257,"")</f>
        <v/>
      </c>
      <c r="C257" s="116" t="str">
        <f>IF(spese!A257="i",spese!C257,"")</f>
        <v/>
      </c>
      <c r="D257" s="114"/>
      <c r="I257" s="33" t="str">
        <f t="shared" si="1"/>
        <v/>
      </c>
    </row>
    <row r="258">
      <c r="A258" s="67" t="b">
        <v>0</v>
      </c>
      <c r="B258" s="115" t="str">
        <f>IF(spese!A258="i",spese!B258,"")</f>
        <v/>
      </c>
      <c r="C258" s="116" t="str">
        <f>IF(spese!A258="i",spese!C258,"")</f>
        <v/>
      </c>
      <c r="D258" s="114"/>
      <c r="I258" s="33" t="str">
        <f t="shared" si="1"/>
        <v/>
      </c>
    </row>
    <row r="259">
      <c r="A259" s="67" t="b">
        <v>0</v>
      </c>
      <c r="B259" s="115" t="str">
        <f>IF(spese!A259="i",spese!B259,"")</f>
        <v/>
      </c>
      <c r="C259" s="116" t="str">
        <f>IF(spese!A259="i",spese!C259,"")</f>
        <v/>
      </c>
      <c r="D259" s="114"/>
      <c r="I259" s="33" t="str">
        <f t="shared" si="1"/>
        <v/>
      </c>
    </row>
    <row r="260">
      <c r="A260" s="67" t="b">
        <v>0</v>
      </c>
      <c r="B260" s="115" t="str">
        <f>IF(spese!A260="i",spese!B260,"")</f>
        <v/>
      </c>
      <c r="C260" s="116" t="str">
        <f>IF(spese!A260="i",spese!C260,"")</f>
        <v/>
      </c>
      <c r="D260" s="114"/>
      <c r="I260" s="33" t="str">
        <f t="shared" si="1"/>
        <v/>
      </c>
    </row>
    <row r="261">
      <c r="A261" s="67" t="b">
        <v>0</v>
      </c>
      <c r="B261" s="115" t="str">
        <f>IF(spese!A261="i",spese!B261,"")</f>
        <v/>
      </c>
      <c r="C261" s="116" t="str">
        <f>IF(spese!A261="i",spese!C261,"")</f>
        <v/>
      </c>
      <c r="D261" s="114"/>
      <c r="I261" s="33" t="str">
        <f t="shared" si="1"/>
        <v/>
      </c>
    </row>
    <row r="262">
      <c r="A262" s="67" t="b">
        <v>0</v>
      </c>
      <c r="B262" s="115" t="str">
        <f>IF(spese!A262="i",spese!B262,"")</f>
        <v/>
      </c>
      <c r="C262" s="116" t="str">
        <f>IF(spese!A262="i",spese!C262,"")</f>
        <v/>
      </c>
      <c r="D262" s="114"/>
      <c r="I262" s="33" t="str">
        <f t="shared" si="1"/>
        <v/>
      </c>
    </row>
    <row r="263">
      <c r="A263" s="67" t="b">
        <v>0</v>
      </c>
      <c r="B263" s="115" t="str">
        <f>IF(spese!A263="i",spese!B263,"")</f>
        <v/>
      </c>
      <c r="C263" s="116" t="str">
        <f>IF(spese!A263="i",spese!C263,"")</f>
        <v/>
      </c>
      <c r="D263" s="114"/>
      <c r="I263" s="33" t="str">
        <f t="shared" si="1"/>
        <v/>
      </c>
    </row>
    <row r="264">
      <c r="A264" s="67" t="b">
        <v>0</v>
      </c>
      <c r="B264" s="115" t="str">
        <f>IF(spese!A264="i",spese!B264,"")</f>
        <v/>
      </c>
      <c r="C264" s="116" t="str">
        <f>IF(spese!A264="i",spese!C264,"")</f>
        <v/>
      </c>
      <c r="D264" s="114"/>
      <c r="I264" s="33" t="str">
        <f t="shared" si="1"/>
        <v/>
      </c>
    </row>
    <row r="265">
      <c r="A265" s="67" t="b">
        <v>0</v>
      </c>
      <c r="B265" s="115" t="str">
        <f>IF(spese!A265="i",spese!B265,"")</f>
        <v/>
      </c>
      <c r="C265" s="116" t="str">
        <f>IF(spese!A265="i",spese!C265,"")</f>
        <v/>
      </c>
      <c r="D265" s="114"/>
      <c r="I265" s="33" t="str">
        <f t="shared" si="1"/>
        <v/>
      </c>
    </row>
    <row r="266">
      <c r="A266" s="67" t="b">
        <v>0</v>
      </c>
      <c r="B266" s="115" t="str">
        <f>IF(spese!A266="i",spese!B266,"")</f>
        <v/>
      </c>
      <c r="C266" s="116" t="str">
        <f>IF(spese!A266="i",spese!C266,"")</f>
        <v/>
      </c>
      <c r="D266" s="114"/>
      <c r="I266" s="33" t="str">
        <f t="shared" si="1"/>
        <v/>
      </c>
    </row>
    <row r="267">
      <c r="A267" s="67" t="b">
        <v>0</v>
      </c>
      <c r="B267" s="115" t="str">
        <f>IF(spese!A267="i",spese!B267,"")</f>
        <v/>
      </c>
      <c r="C267" s="116" t="str">
        <f>IF(spese!A267="i",spese!C267,"")</f>
        <v/>
      </c>
      <c r="D267" s="114"/>
      <c r="I267" s="33" t="str">
        <f t="shared" si="1"/>
        <v/>
      </c>
    </row>
    <row r="268">
      <c r="A268" s="67" t="b">
        <v>0</v>
      </c>
      <c r="B268" s="115" t="str">
        <f>IF(spese!A268="i",spese!B268,"")</f>
        <v/>
      </c>
      <c r="C268" s="116" t="str">
        <f>IF(spese!A268="i",spese!C268,"")</f>
        <v/>
      </c>
      <c r="D268" s="114"/>
      <c r="I268" s="33" t="str">
        <f t="shared" si="1"/>
        <v/>
      </c>
    </row>
    <row r="269">
      <c r="A269" s="67" t="b">
        <v>0</v>
      </c>
      <c r="B269" s="115" t="str">
        <f>IF(spese!A269="i",spese!B269,"")</f>
        <v/>
      </c>
      <c r="C269" s="116" t="str">
        <f>IF(spese!A269="i",spese!C269,"")</f>
        <v/>
      </c>
      <c r="D269" s="114"/>
      <c r="I269" s="33" t="str">
        <f t="shared" si="1"/>
        <v/>
      </c>
    </row>
    <row r="270">
      <c r="A270" s="67" t="b">
        <v>0</v>
      </c>
      <c r="B270" s="115" t="str">
        <f>IF(spese!A270="i",spese!B270,"")</f>
        <v/>
      </c>
      <c r="C270" s="116" t="str">
        <f>IF(spese!A270="i",spese!C270,"")</f>
        <v/>
      </c>
      <c r="D270" s="114"/>
      <c r="I270" s="33" t="str">
        <f t="shared" si="1"/>
        <v/>
      </c>
    </row>
    <row r="271">
      <c r="A271" s="67" t="b">
        <v>0</v>
      </c>
      <c r="B271" s="115" t="str">
        <f>IF(spese!A271="i",spese!B271,"")</f>
        <v/>
      </c>
      <c r="C271" s="116" t="str">
        <f>IF(spese!A271="i",spese!C271,"")</f>
        <v/>
      </c>
      <c r="D271" s="114"/>
      <c r="I271" s="33" t="str">
        <f t="shared" si="1"/>
        <v/>
      </c>
    </row>
    <row r="272">
      <c r="A272" s="67" t="b">
        <v>0</v>
      </c>
      <c r="B272" s="115" t="str">
        <f>IF(spese!A272="i",spese!B272,"")</f>
        <v/>
      </c>
      <c r="C272" s="116" t="str">
        <f>IF(spese!A272="i",spese!C272,"")</f>
        <v/>
      </c>
      <c r="D272" s="114"/>
      <c r="I272" s="33" t="str">
        <f t="shared" si="1"/>
        <v/>
      </c>
    </row>
    <row r="273">
      <c r="A273" s="67" t="b">
        <v>0</v>
      </c>
      <c r="B273" s="115" t="str">
        <f>IF(spese!A273="i",spese!B273,"")</f>
        <v/>
      </c>
      <c r="C273" s="116" t="str">
        <f>IF(spese!A273="i",spese!C273,"")</f>
        <v/>
      </c>
      <c r="D273" s="114"/>
      <c r="I273" s="33" t="str">
        <f t="shared" si="1"/>
        <v/>
      </c>
    </row>
    <row r="274">
      <c r="A274" s="67" t="b">
        <v>0</v>
      </c>
      <c r="B274" s="115" t="str">
        <f>IF(spese!A274="i",spese!B274,"")</f>
        <v/>
      </c>
      <c r="C274" s="116" t="str">
        <f>IF(spese!A274="i",spese!C274,"")</f>
        <v/>
      </c>
      <c r="D274" s="114"/>
      <c r="I274" s="33" t="str">
        <f t="shared" si="1"/>
        <v/>
      </c>
    </row>
    <row r="275">
      <c r="A275" s="67" t="b">
        <v>0</v>
      </c>
      <c r="B275" s="115" t="str">
        <f>IF(spese!A275="i",spese!B275,"")</f>
        <v/>
      </c>
      <c r="C275" s="116" t="str">
        <f>IF(spese!A275="i",spese!C275,"")</f>
        <v/>
      </c>
      <c r="D275" s="114"/>
      <c r="I275" s="33" t="str">
        <f t="shared" si="1"/>
        <v/>
      </c>
    </row>
    <row r="276">
      <c r="A276" s="67" t="b">
        <v>0</v>
      </c>
      <c r="B276" s="115" t="str">
        <f>IF(spese!A276="i",spese!B276,"")</f>
        <v/>
      </c>
      <c r="C276" s="116" t="str">
        <f>IF(spese!A276="i",spese!C276,"")</f>
        <v/>
      </c>
      <c r="D276" s="114"/>
      <c r="I276" s="33" t="str">
        <f t="shared" si="1"/>
        <v/>
      </c>
    </row>
    <row r="277">
      <c r="A277" s="67" t="b">
        <v>0</v>
      </c>
      <c r="B277" s="115" t="str">
        <f>IF(spese!A277="i",spese!B277,"")</f>
        <v/>
      </c>
      <c r="C277" s="116" t="str">
        <f>IF(spese!A277="i",spese!C277,"")</f>
        <v/>
      </c>
      <c r="D277" s="114"/>
      <c r="I277" s="33" t="str">
        <f t="shared" si="1"/>
        <v/>
      </c>
    </row>
    <row r="278">
      <c r="A278" s="67" t="b">
        <v>0</v>
      </c>
      <c r="B278" s="115" t="str">
        <f>IF(spese!A278="i",spese!B278,"")</f>
        <v/>
      </c>
      <c r="C278" s="116" t="str">
        <f>IF(spese!A278="i",spese!C278,"")</f>
        <v/>
      </c>
      <c r="D278" s="114"/>
      <c r="I278" s="33" t="str">
        <f t="shared" si="1"/>
        <v/>
      </c>
    </row>
    <row r="279">
      <c r="A279" s="67" t="b">
        <v>0</v>
      </c>
      <c r="B279" s="115" t="str">
        <f>IF(spese!A279="i",spese!B279,"")</f>
        <v/>
      </c>
      <c r="C279" s="116" t="str">
        <f>IF(spese!A279="i",spese!C279,"")</f>
        <v/>
      </c>
      <c r="D279" s="114"/>
      <c r="I279" s="33" t="str">
        <f t="shared" si="1"/>
        <v/>
      </c>
    </row>
    <row r="280">
      <c r="A280" s="67" t="b">
        <v>0</v>
      </c>
      <c r="B280" s="115" t="str">
        <f>IF(spese!A280="i",spese!B280,"")</f>
        <v/>
      </c>
      <c r="C280" s="116" t="str">
        <f>IF(spese!A280="i",spese!C280,"")</f>
        <v/>
      </c>
      <c r="D280" s="114"/>
      <c r="I280" s="33" t="str">
        <f t="shared" si="1"/>
        <v/>
      </c>
    </row>
    <row r="281">
      <c r="A281" s="67" t="b">
        <v>0</v>
      </c>
      <c r="B281" s="115" t="str">
        <f>IF(spese!A281="i",spese!B281,"")</f>
        <v/>
      </c>
      <c r="C281" s="116" t="str">
        <f>IF(spese!A281="i",spese!C281,"")</f>
        <v/>
      </c>
      <c r="D281" s="114"/>
      <c r="I281" s="33" t="str">
        <f t="shared" si="1"/>
        <v/>
      </c>
    </row>
    <row r="282">
      <c r="A282" s="67" t="b">
        <v>0</v>
      </c>
      <c r="B282" s="115" t="str">
        <f>IF(spese!A282="i",spese!B282,"")</f>
        <v/>
      </c>
      <c r="C282" s="116" t="str">
        <f>IF(spese!A282="i",spese!C282,"")</f>
        <v/>
      </c>
      <c r="D282" s="114"/>
      <c r="I282" s="33" t="str">
        <f t="shared" si="1"/>
        <v/>
      </c>
    </row>
    <row r="283">
      <c r="A283" s="67" t="b">
        <v>0</v>
      </c>
      <c r="B283" s="115" t="str">
        <f>IF(spese!A283="i",spese!B283,"")</f>
        <v/>
      </c>
      <c r="C283" s="116" t="str">
        <f>IF(spese!A283="i",spese!C283,"")</f>
        <v/>
      </c>
      <c r="D283" s="114"/>
      <c r="I283" s="33" t="str">
        <f t="shared" si="1"/>
        <v/>
      </c>
    </row>
    <row r="284">
      <c r="A284" s="67" t="b">
        <v>0</v>
      </c>
      <c r="B284" s="115" t="str">
        <f>IF(spese!A284="i",spese!B284,"")</f>
        <v/>
      </c>
      <c r="C284" s="116" t="str">
        <f>IF(spese!A284="i",spese!C284,"")</f>
        <v/>
      </c>
      <c r="D284" s="114"/>
      <c r="I284" s="33" t="str">
        <f t="shared" si="1"/>
        <v/>
      </c>
    </row>
    <row r="285">
      <c r="A285" s="67" t="b">
        <v>0</v>
      </c>
      <c r="B285" s="115" t="str">
        <f>IF(spese!A285="i",spese!B285,"")</f>
        <v/>
      </c>
      <c r="C285" s="116" t="str">
        <f>IF(spese!A285="i",spese!C285,"")</f>
        <v/>
      </c>
      <c r="D285" s="114"/>
      <c r="I285" s="33" t="str">
        <f t="shared" si="1"/>
        <v/>
      </c>
    </row>
    <row r="286">
      <c r="A286" s="67" t="b">
        <v>0</v>
      </c>
      <c r="B286" s="115" t="str">
        <f>IF(spese!A286="i",spese!B286,"")</f>
        <v/>
      </c>
      <c r="C286" s="116" t="str">
        <f>IF(spese!A286="i",spese!C286,"")</f>
        <v/>
      </c>
      <c r="D286" s="114"/>
      <c r="I286" s="33" t="str">
        <f t="shared" si="1"/>
        <v/>
      </c>
    </row>
    <row r="287">
      <c r="A287" s="67" t="b">
        <v>0</v>
      </c>
      <c r="B287" s="115" t="str">
        <f>IF(spese!A287="i",spese!B287,"")</f>
        <v/>
      </c>
      <c r="C287" s="116" t="str">
        <f>IF(spese!A287="i",spese!C287,"")</f>
        <v/>
      </c>
      <c r="D287" s="114"/>
      <c r="I287" s="33" t="str">
        <f t="shared" si="1"/>
        <v/>
      </c>
    </row>
    <row r="288">
      <c r="A288" s="67" t="b">
        <v>0</v>
      </c>
      <c r="B288" s="115" t="str">
        <f>IF(spese!A288="i",spese!B288,"")</f>
        <v/>
      </c>
      <c r="C288" s="116" t="str">
        <f>IF(spese!A288="i",spese!C288,"")</f>
        <v/>
      </c>
      <c r="D288" s="114"/>
      <c r="I288" s="33" t="str">
        <f t="shared" si="1"/>
        <v/>
      </c>
    </row>
    <row r="289">
      <c r="A289" s="67" t="b">
        <v>0</v>
      </c>
      <c r="B289" s="115" t="str">
        <f>IF(spese!A289="i",spese!B289,"")</f>
        <v/>
      </c>
      <c r="C289" s="116" t="str">
        <f>IF(spese!A289="i",spese!C289,"")</f>
        <v/>
      </c>
      <c r="D289" s="114"/>
      <c r="I289" s="33" t="str">
        <f t="shared" si="1"/>
        <v/>
      </c>
    </row>
    <row r="290">
      <c r="A290" s="67" t="b">
        <v>0</v>
      </c>
      <c r="B290" s="115" t="str">
        <f>IF(spese!A290="i",spese!B290,"")</f>
        <v/>
      </c>
      <c r="C290" s="116" t="str">
        <f>IF(spese!A290="i",spese!C290,"")</f>
        <v/>
      </c>
      <c r="D290" s="114"/>
      <c r="I290" s="33" t="str">
        <f t="shared" si="1"/>
        <v/>
      </c>
    </row>
    <row r="291">
      <c r="A291" s="67" t="b">
        <v>0</v>
      </c>
      <c r="B291" s="115" t="str">
        <f>IF(spese!A291="i",spese!B291,"")</f>
        <v/>
      </c>
      <c r="C291" s="116" t="str">
        <f>IF(spese!A291="i",spese!C291,"")</f>
        <v/>
      </c>
      <c r="D291" s="114"/>
      <c r="I291" s="33" t="str">
        <f t="shared" si="1"/>
        <v/>
      </c>
    </row>
    <row r="292">
      <c r="A292" s="67" t="b">
        <v>0</v>
      </c>
      <c r="B292" s="115" t="str">
        <f>IF(spese!A292="i",spese!B292,"")</f>
        <v/>
      </c>
      <c r="C292" s="116" t="str">
        <f>IF(spese!A292="i",spese!C292,"")</f>
        <v/>
      </c>
      <c r="D292" s="114"/>
      <c r="I292" s="33" t="str">
        <f t="shared" si="1"/>
        <v/>
      </c>
    </row>
    <row r="293">
      <c r="A293" s="67" t="b">
        <v>0</v>
      </c>
      <c r="B293" s="115" t="str">
        <f>IF(spese!A293="i",spese!B293,"")</f>
        <v/>
      </c>
      <c r="C293" s="116" t="str">
        <f>IF(spese!A293="i",spese!C293,"")</f>
        <v/>
      </c>
      <c r="D293" s="114"/>
      <c r="I293" s="33" t="str">
        <f t="shared" si="1"/>
        <v/>
      </c>
    </row>
    <row r="294">
      <c r="A294" s="67" t="b">
        <v>0</v>
      </c>
      <c r="B294" s="115" t="str">
        <f>IF(spese!A294="i",spese!B294,"")</f>
        <v/>
      </c>
      <c r="C294" s="116" t="str">
        <f>IF(spese!A294="i",spese!C294,"")</f>
        <v/>
      </c>
      <c r="D294" s="114"/>
      <c r="I294" s="33" t="str">
        <f t="shared" si="1"/>
        <v/>
      </c>
    </row>
    <row r="295">
      <c r="A295" s="67" t="b">
        <v>0</v>
      </c>
      <c r="B295" s="115" t="str">
        <f>IF(spese!A295="i",spese!B295,"")</f>
        <v/>
      </c>
      <c r="C295" s="116" t="str">
        <f>IF(spese!A295="i",spese!C295,"")</f>
        <v/>
      </c>
      <c r="D295" s="114"/>
      <c r="I295" s="33" t="str">
        <f t="shared" si="1"/>
        <v/>
      </c>
    </row>
    <row r="296">
      <c r="A296" s="67" t="b">
        <v>0</v>
      </c>
      <c r="B296" s="115" t="str">
        <f>IF(spese!A296="i",spese!B296,"")</f>
        <v/>
      </c>
      <c r="C296" s="116" t="str">
        <f>IF(spese!A296="i",spese!C296,"")</f>
        <v/>
      </c>
      <c r="D296" s="114"/>
      <c r="I296" s="33" t="str">
        <f t="shared" si="1"/>
        <v/>
      </c>
    </row>
    <row r="297">
      <c r="A297" s="67" t="b">
        <v>0</v>
      </c>
      <c r="B297" s="115" t="str">
        <f>IF(spese!A297="i",spese!B297,"")</f>
        <v/>
      </c>
      <c r="C297" s="116" t="str">
        <f>IF(spese!A297="i",spese!C297,"")</f>
        <v/>
      </c>
      <c r="D297" s="114"/>
      <c r="I297" s="33" t="str">
        <f t="shared" si="1"/>
        <v/>
      </c>
    </row>
    <row r="298">
      <c r="A298" s="67" t="b">
        <v>0</v>
      </c>
      <c r="B298" s="115" t="str">
        <f>IF(spese!A298="i",spese!B298,"")</f>
        <v/>
      </c>
      <c r="C298" s="116" t="str">
        <f>IF(spese!A298="i",spese!C298,"")</f>
        <v/>
      </c>
      <c r="D298" s="114"/>
      <c r="I298" s="33" t="str">
        <f t="shared" si="1"/>
        <v/>
      </c>
    </row>
    <row r="299">
      <c r="A299" s="67" t="b">
        <v>0</v>
      </c>
      <c r="B299" s="115" t="str">
        <f>IF(spese!A299="i",spese!B299,"")</f>
        <v/>
      </c>
      <c r="C299" s="116" t="str">
        <f>IF(spese!A299="i",spese!C299,"")</f>
        <v/>
      </c>
      <c r="D299" s="114"/>
      <c r="I299" s="33" t="str">
        <f t="shared" si="1"/>
        <v/>
      </c>
    </row>
    <row r="300">
      <c r="A300" s="67" t="b">
        <v>0</v>
      </c>
      <c r="B300" s="115" t="str">
        <f>IF(spese!A300="i",spese!B300,"")</f>
        <v/>
      </c>
      <c r="C300" s="116" t="str">
        <f>IF(spese!A300="i",spese!C300,"")</f>
        <v/>
      </c>
      <c r="D300" s="114"/>
      <c r="I300" s="33" t="str">
        <f t="shared" si="1"/>
        <v/>
      </c>
    </row>
    <row r="301">
      <c r="A301" s="67" t="b">
        <v>0</v>
      </c>
      <c r="B301" s="115" t="str">
        <f>IF(spese!A301="i",spese!B301,"")</f>
        <v/>
      </c>
      <c r="C301" s="116" t="str">
        <f>IF(spese!A301="i",spese!C301,"")</f>
        <v/>
      </c>
      <c r="D301" s="114"/>
      <c r="I301" s="33" t="str">
        <f t="shared" si="1"/>
        <v/>
      </c>
    </row>
    <row r="302">
      <c r="A302" s="67" t="b">
        <v>0</v>
      </c>
      <c r="B302" s="115" t="str">
        <f>IF(spese!A302="i",spese!B302,"")</f>
        <v/>
      </c>
      <c r="C302" s="116" t="str">
        <f>IF(spese!A302="i",spese!C302,"")</f>
        <v/>
      </c>
      <c r="D302" s="114"/>
      <c r="I302" s="33" t="str">
        <f t="shared" si="1"/>
        <v/>
      </c>
    </row>
    <row r="303">
      <c r="A303" s="67" t="b">
        <v>0</v>
      </c>
      <c r="B303" s="115" t="str">
        <f>IF(spese!A303="i",spese!B303,"")</f>
        <v/>
      </c>
      <c r="C303" s="116" t="str">
        <f>IF(spese!A303="i",spese!C303,"")</f>
        <v/>
      </c>
      <c r="D303" s="114"/>
      <c r="I303" s="33" t="str">
        <f t="shared" si="1"/>
        <v/>
      </c>
    </row>
    <row r="304">
      <c r="A304" s="114"/>
      <c r="C304" s="29"/>
      <c r="D304" s="114"/>
      <c r="I304" s="129"/>
    </row>
    <row r="305">
      <c r="A305" s="114"/>
      <c r="C305" s="29"/>
      <c r="D305" s="114"/>
      <c r="I305" s="129"/>
    </row>
    <row r="306">
      <c r="A306" s="114"/>
      <c r="C306" s="29"/>
      <c r="D306" s="114"/>
      <c r="I306" s="129"/>
    </row>
    <row r="307">
      <c r="A307" s="114"/>
      <c r="C307" s="29"/>
      <c r="D307" s="114"/>
      <c r="I307" s="129"/>
    </row>
    <row r="308">
      <c r="A308" s="114"/>
      <c r="C308" s="29"/>
      <c r="D308" s="114"/>
      <c r="I308" s="129"/>
    </row>
    <row r="309">
      <c r="A309" s="114"/>
      <c r="C309" s="29"/>
      <c r="D309" s="114"/>
      <c r="I309" s="129"/>
    </row>
    <row r="310">
      <c r="A310" s="114"/>
      <c r="C310" s="29"/>
      <c r="D310" s="114"/>
      <c r="I310" s="129"/>
    </row>
    <row r="311">
      <c r="A311" s="114"/>
      <c r="C311" s="29"/>
      <c r="D311" s="114"/>
      <c r="I311" s="129"/>
    </row>
    <row r="312">
      <c r="A312" s="114"/>
      <c r="C312" s="29"/>
      <c r="D312" s="114"/>
      <c r="I312" s="129"/>
    </row>
    <row r="313">
      <c r="A313" s="114"/>
      <c r="C313" s="29"/>
      <c r="D313" s="114"/>
      <c r="I313" s="129"/>
    </row>
    <row r="314">
      <c r="A314" s="114"/>
      <c r="C314" s="29"/>
      <c r="D314" s="114"/>
      <c r="I314" s="129"/>
    </row>
    <row r="315">
      <c r="A315" s="114"/>
      <c r="C315" s="29"/>
      <c r="D315" s="114"/>
      <c r="I315" s="129"/>
    </row>
    <row r="316">
      <c r="A316" s="114"/>
      <c r="C316" s="29"/>
      <c r="D316" s="114"/>
      <c r="I316" s="129"/>
    </row>
    <row r="317">
      <c r="A317" s="114"/>
      <c r="C317" s="29"/>
      <c r="D317" s="114"/>
      <c r="I317" s="129"/>
    </row>
    <row r="318">
      <c r="A318" s="114"/>
      <c r="C318" s="29"/>
      <c r="D318" s="114"/>
      <c r="I318" s="129"/>
    </row>
    <row r="319">
      <c r="A319" s="114"/>
      <c r="C319" s="29"/>
      <c r="D319" s="114"/>
      <c r="I319" s="129"/>
    </row>
    <row r="320">
      <c r="A320" s="114"/>
      <c r="C320" s="29"/>
      <c r="D320" s="114"/>
      <c r="I320" s="129"/>
    </row>
    <row r="321">
      <c r="A321" s="114"/>
      <c r="C321" s="29"/>
      <c r="D321" s="114"/>
      <c r="I321" s="129"/>
    </row>
    <row r="322">
      <c r="A322" s="114"/>
      <c r="C322" s="29"/>
      <c r="D322" s="114"/>
      <c r="I322" s="129"/>
    </row>
    <row r="323">
      <c r="A323" s="114"/>
      <c r="C323" s="29"/>
      <c r="D323" s="114"/>
      <c r="I323" s="129"/>
    </row>
    <row r="324">
      <c r="A324" s="114"/>
      <c r="C324" s="29"/>
      <c r="D324" s="114"/>
      <c r="I324" s="129"/>
    </row>
    <row r="325">
      <c r="A325" s="114"/>
      <c r="C325" s="29"/>
      <c r="D325" s="114"/>
      <c r="I325" s="129"/>
    </row>
    <row r="326">
      <c r="A326" s="114"/>
      <c r="C326" s="29"/>
      <c r="D326" s="114"/>
      <c r="I326" s="129"/>
    </row>
    <row r="327">
      <c r="A327" s="114"/>
      <c r="C327" s="29"/>
      <c r="D327" s="114"/>
      <c r="I327" s="129"/>
    </row>
    <row r="328">
      <c r="A328" s="114"/>
      <c r="C328" s="29"/>
      <c r="D328" s="114"/>
      <c r="I328" s="129"/>
    </row>
    <row r="329">
      <c r="A329" s="114"/>
      <c r="C329" s="29"/>
      <c r="D329" s="114"/>
      <c r="I329" s="129"/>
    </row>
    <row r="330">
      <c r="A330" s="114"/>
      <c r="C330" s="29"/>
      <c r="D330" s="114"/>
      <c r="I330" s="129"/>
    </row>
    <row r="331">
      <c r="A331" s="114"/>
      <c r="C331" s="29"/>
      <c r="D331" s="114"/>
      <c r="I331" s="129"/>
    </row>
    <row r="332">
      <c r="A332" s="114"/>
      <c r="C332" s="29"/>
      <c r="D332" s="114"/>
      <c r="I332" s="129"/>
    </row>
    <row r="333">
      <c r="A333" s="114"/>
      <c r="C333" s="29"/>
      <c r="D333" s="114"/>
      <c r="I333" s="129"/>
    </row>
    <row r="334">
      <c r="A334" s="114"/>
      <c r="C334" s="29"/>
      <c r="D334" s="114"/>
      <c r="I334" s="129"/>
    </row>
    <row r="335">
      <c r="A335" s="114"/>
      <c r="C335" s="29"/>
      <c r="D335" s="114"/>
      <c r="I335" s="129"/>
    </row>
    <row r="336">
      <c r="A336" s="114"/>
      <c r="C336" s="29"/>
      <c r="D336" s="114"/>
      <c r="I336" s="129"/>
    </row>
    <row r="337">
      <c r="A337" s="114"/>
      <c r="C337" s="29"/>
      <c r="D337" s="114"/>
      <c r="I337" s="129"/>
    </row>
    <row r="338">
      <c r="A338" s="114"/>
      <c r="C338" s="29"/>
      <c r="D338" s="114"/>
      <c r="I338" s="129"/>
    </row>
    <row r="339">
      <c r="A339" s="114"/>
      <c r="C339" s="29"/>
      <c r="D339" s="114"/>
      <c r="I339" s="129"/>
    </row>
    <row r="340">
      <c r="A340" s="114"/>
      <c r="C340" s="29"/>
      <c r="D340" s="114"/>
      <c r="I340" s="129"/>
    </row>
    <row r="341">
      <c r="A341" s="114"/>
      <c r="C341" s="29"/>
      <c r="D341" s="114"/>
      <c r="I341" s="129"/>
    </row>
    <row r="342">
      <c r="A342" s="114"/>
      <c r="C342" s="29"/>
      <c r="D342" s="114"/>
      <c r="I342" s="129"/>
    </row>
    <row r="343">
      <c r="A343" s="114"/>
      <c r="C343" s="29"/>
      <c r="D343" s="114"/>
      <c r="I343" s="129"/>
    </row>
    <row r="344">
      <c r="A344" s="114"/>
      <c r="C344" s="29"/>
      <c r="D344" s="114"/>
      <c r="I344" s="129"/>
    </row>
    <row r="345">
      <c r="A345" s="114"/>
      <c r="C345" s="29"/>
      <c r="D345" s="114"/>
      <c r="I345" s="129"/>
    </row>
    <row r="346">
      <c r="A346" s="114"/>
      <c r="C346" s="29"/>
      <c r="D346" s="114"/>
      <c r="I346" s="129"/>
    </row>
    <row r="347">
      <c r="A347" s="114"/>
      <c r="C347" s="29"/>
      <c r="D347" s="114"/>
      <c r="I347" s="129"/>
    </row>
    <row r="348">
      <c r="A348" s="114"/>
      <c r="C348" s="29"/>
      <c r="D348" s="114"/>
      <c r="I348" s="129"/>
    </row>
    <row r="349">
      <c r="A349" s="114"/>
      <c r="C349" s="29"/>
      <c r="D349" s="114"/>
      <c r="I349" s="129"/>
    </row>
    <row r="350">
      <c r="A350" s="114"/>
      <c r="C350" s="29"/>
      <c r="D350" s="114"/>
      <c r="I350" s="129"/>
    </row>
    <row r="351">
      <c r="A351" s="114"/>
      <c r="C351" s="29"/>
      <c r="D351" s="114"/>
      <c r="I351" s="129"/>
    </row>
    <row r="352">
      <c r="A352" s="114"/>
      <c r="C352" s="29"/>
      <c r="D352" s="114"/>
      <c r="I352" s="129"/>
    </row>
    <row r="353">
      <c r="A353" s="114"/>
      <c r="C353" s="29"/>
      <c r="D353" s="114"/>
      <c r="I353" s="129"/>
    </row>
    <row r="354">
      <c r="A354" s="114"/>
      <c r="C354" s="29"/>
      <c r="D354" s="114"/>
      <c r="I354" s="129"/>
    </row>
    <row r="355">
      <c r="A355" s="114"/>
      <c r="C355" s="29"/>
      <c r="D355" s="114"/>
      <c r="I355" s="129"/>
    </row>
    <row r="356">
      <c r="A356" s="114"/>
      <c r="C356" s="29"/>
      <c r="D356" s="114"/>
      <c r="I356" s="129"/>
    </row>
    <row r="357">
      <c r="A357" s="114"/>
      <c r="C357" s="29"/>
      <c r="D357" s="114"/>
      <c r="I357" s="129"/>
    </row>
    <row r="358">
      <c r="A358" s="114"/>
      <c r="C358" s="29"/>
      <c r="D358" s="114"/>
      <c r="I358" s="129"/>
    </row>
    <row r="359">
      <c r="A359" s="114"/>
      <c r="C359" s="29"/>
      <c r="D359" s="114"/>
      <c r="I359" s="129"/>
    </row>
    <row r="360">
      <c r="A360" s="114"/>
      <c r="C360" s="29"/>
      <c r="D360" s="114"/>
      <c r="I360" s="129"/>
    </row>
    <row r="361">
      <c r="A361" s="114"/>
      <c r="C361" s="29"/>
      <c r="D361" s="114"/>
      <c r="I361" s="129"/>
    </row>
    <row r="362">
      <c r="A362" s="114"/>
      <c r="C362" s="29"/>
      <c r="D362" s="114"/>
      <c r="I362" s="129"/>
    </row>
    <row r="363">
      <c r="A363" s="114"/>
      <c r="C363" s="29"/>
      <c r="D363" s="114"/>
      <c r="I363" s="129"/>
    </row>
    <row r="364">
      <c r="A364" s="114"/>
      <c r="C364" s="29"/>
      <c r="D364" s="114"/>
      <c r="I364" s="129"/>
    </row>
    <row r="365">
      <c r="A365" s="114"/>
      <c r="C365" s="29"/>
      <c r="D365" s="114"/>
      <c r="I365" s="129"/>
    </row>
    <row r="366">
      <c r="A366" s="114"/>
      <c r="C366" s="29"/>
      <c r="D366" s="114"/>
      <c r="I366" s="129"/>
    </row>
    <row r="367">
      <c r="A367" s="114"/>
      <c r="C367" s="29"/>
      <c r="D367" s="114"/>
      <c r="I367" s="129"/>
    </row>
    <row r="368">
      <c r="A368" s="114"/>
      <c r="C368" s="29"/>
      <c r="D368" s="114"/>
      <c r="I368" s="129"/>
    </row>
    <row r="369">
      <c r="A369" s="114"/>
      <c r="C369" s="29"/>
      <c r="D369" s="114"/>
      <c r="I369" s="129"/>
    </row>
    <row r="370">
      <c r="A370" s="114"/>
      <c r="C370" s="29"/>
      <c r="D370" s="114"/>
      <c r="I370" s="129"/>
    </row>
    <row r="371">
      <c r="A371" s="114"/>
      <c r="C371" s="29"/>
      <c r="D371" s="114"/>
      <c r="I371" s="129"/>
    </row>
    <row r="372">
      <c r="A372" s="114"/>
      <c r="C372" s="29"/>
      <c r="D372" s="114"/>
      <c r="I372" s="129"/>
    </row>
    <row r="373">
      <c r="A373" s="114"/>
      <c r="C373" s="29"/>
      <c r="D373" s="114"/>
      <c r="I373" s="129"/>
    </row>
    <row r="374">
      <c r="A374" s="114"/>
      <c r="C374" s="29"/>
      <c r="D374" s="114"/>
      <c r="I374" s="129"/>
    </row>
    <row r="375">
      <c r="A375" s="114"/>
      <c r="C375" s="29"/>
      <c r="D375" s="114"/>
      <c r="I375" s="129"/>
    </row>
    <row r="376">
      <c r="A376" s="114"/>
      <c r="C376" s="29"/>
      <c r="D376" s="114"/>
      <c r="I376" s="129"/>
    </row>
    <row r="377">
      <c r="A377" s="114"/>
      <c r="C377" s="29"/>
      <c r="D377" s="114"/>
      <c r="I377" s="129"/>
    </row>
    <row r="378">
      <c r="A378" s="114"/>
      <c r="C378" s="29"/>
      <c r="D378" s="114"/>
      <c r="I378" s="129"/>
    </row>
    <row r="379">
      <c r="A379" s="114"/>
      <c r="C379" s="29"/>
      <c r="D379" s="114"/>
      <c r="I379" s="129"/>
    </row>
    <row r="380">
      <c r="A380" s="114"/>
      <c r="C380" s="29"/>
      <c r="D380" s="114"/>
      <c r="I380" s="129"/>
    </row>
    <row r="381">
      <c r="A381" s="114"/>
      <c r="C381" s="29"/>
      <c r="D381" s="114"/>
      <c r="I381" s="129"/>
    </row>
    <row r="382">
      <c r="A382" s="114"/>
      <c r="C382" s="29"/>
      <c r="D382" s="114"/>
      <c r="I382" s="129"/>
    </row>
    <row r="383">
      <c r="A383" s="114"/>
      <c r="C383" s="29"/>
      <c r="D383" s="114"/>
      <c r="I383" s="129"/>
    </row>
    <row r="384">
      <c r="A384" s="114"/>
      <c r="C384" s="29"/>
      <c r="D384" s="114"/>
      <c r="I384" s="129"/>
    </row>
    <row r="385">
      <c r="A385" s="114"/>
      <c r="C385" s="29"/>
      <c r="D385" s="114"/>
      <c r="I385" s="129"/>
    </row>
    <row r="386">
      <c r="A386" s="114"/>
      <c r="C386" s="29"/>
      <c r="D386" s="114"/>
      <c r="I386" s="129"/>
    </row>
    <row r="387">
      <c r="A387" s="114"/>
      <c r="C387" s="29"/>
      <c r="D387" s="114"/>
      <c r="I387" s="129"/>
    </row>
    <row r="388">
      <c r="A388" s="114"/>
      <c r="C388" s="29"/>
      <c r="D388" s="114"/>
      <c r="I388" s="129"/>
    </row>
    <row r="389">
      <c r="A389" s="114"/>
      <c r="C389" s="29"/>
      <c r="D389" s="114"/>
      <c r="I389" s="129"/>
    </row>
    <row r="390">
      <c r="A390" s="114"/>
      <c r="C390" s="29"/>
      <c r="D390" s="114"/>
      <c r="I390" s="129"/>
    </row>
    <row r="391">
      <c r="A391" s="114"/>
      <c r="C391" s="29"/>
      <c r="D391" s="114"/>
      <c r="I391" s="129"/>
    </row>
    <row r="392">
      <c r="A392" s="114"/>
      <c r="C392" s="29"/>
      <c r="D392" s="114"/>
      <c r="I392" s="129"/>
    </row>
    <row r="393">
      <c r="A393" s="114"/>
      <c r="C393" s="29"/>
      <c r="D393" s="114"/>
      <c r="I393" s="129"/>
    </row>
    <row r="394">
      <c r="A394" s="114"/>
      <c r="C394" s="29"/>
      <c r="D394" s="114"/>
      <c r="I394" s="129"/>
    </row>
    <row r="395">
      <c r="A395" s="114"/>
      <c r="C395" s="29"/>
      <c r="D395" s="114"/>
      <c r="I395" s="129"/>
    </row>
    <row r="396">
      <c r="A396" s="114"/>
      <c r="C396" s="29"/>
      <c r="D396" s="114"/>
      <c r="I396" s="129"/>
    </row>
    <row r="397">
      <c r="A397" s="114"/>
      <c r="C397" s="29"/>
      <c r="D397" s="114"/>
      <c r="I397" s="129"/>
    </row>
    <row r="398">
      <c r="A398" s="114"/>
      <c r="C398" s="29"/>
      <c r="D398" s="114"/>
      <c r="I398" s="129"/>
    </row>
    <row r="399">
      <c r="A399" s="114"/>
      <c r="C399" s="29"/>
      <c r="D399" s="114"/>
      <c r="I399" s="129"/>
    </row>
    <row r="400">
      <c r="A400" s="114"/>
      <c r="C400" s="29"/>
      <c r="D400" s="114"/>
      <c r="I400" s="129"/>
    </row>
    <row r="401">
      <c r="A401" s="114"/>
      <c r="C401" s="29"/>
      <c r="D401" s="114"/>
      <c r="I401" s="129"/>
    </row>
    <row r="402">
      <c r="A402" s="114"/>
      <c r="C402" s="29"/>
      <c r="D402" s="114"/>
      <c r="I402" s="129"/>
    </row>
    <row r="403">
      <c r="A403" s="114"/>
      <c r="C403" s="29"/>
      <c r="D403" s="114"/>
      <c r="I403" s="129"/>
    </row>
    <row r="404">
      <c r="A404" s="114"/>
      <c r="C404" s="29"/>
      <c r="D404" s="114"/>
      <c r="I404" s="129"/>
    </row>
    <row r="405">
      <c r="A405" s="114"/>
      <c r="C405" s="29"/>
      <c r="D405" s="114"/>
      <c r="I405" s="129"/>
    </row>
    <row r="406">
      <c r="A406" s="114"/>
      <c r="C406" s="29"/>
      <c r="D406" s="114"/>
      <c r="I406" s="129"/>
    </row>
    <row r="407">
      <c r="A407" s="114"/>
      <c r="C407" s="29"/>
      <c r="D407" s="114"/>
      <c r="I407" s="129"/>
    </row>
    <row r="408">
      <c r="A408" s="114"/>
      <c r="C408" s="29"/>
      <c r="D408" s="114"/>
      <c r="I408" s="129"/>
    </row>
    <row r="409">
      <c r="A409" s="114"/>
      <c r="C409" s="29"/>
      <c r="D409" s="114"/>
      <c r="I409" s="129"/>
    </row>
    <row r="410">
      <c r="A410" s="114"/>
      <c r="C410" s="29"/>
      <c r="D410" s="114"/>
      <c r="I410" s="129"/>
    </row>
    <row r="411">
      <c r="A411" s="114"/>
      <c r="C411" s="29"/>
      <c r="D411" s="114"/>
      <c r="I411" s="129"/>
    </row>
    <row r="412">
      <c r="A412" s="114"/>
      <c r="C412" s="29"/>
      <c r="D412" s="114"/>
      <c r="I412" s="129"/>
    </row>
    <row r="413">
      <c r="A413" s="114"/>
      <c r="C413" s="29"/>
      <c r="D413" s="114"/>
      <c r="I413" s="129"/>
    </row>
    <row r="414">
      <c r="A414" s="114"/>
      <c r="C414" s="29"/>
      <c r="D414" s="114"/>
      <c r="I414" s="129"/>
    </row>
    <row r="415">
      <c r="A415" s="114"/>
      <c r="C415" s="29"/>
      <c r="D415" s="114"/>
      <c r="I415" s="129"/>
    </row>
    <row r="416">
      <c r="A416" s="114"/>
      <c r="C416" s="29"/>
      <c r="D416" s="114"/>
      <c r="I416" s="129"/>
    </row>
    <row r="417">
      <c r="A417" s="114"/>
      <c r="C417" s="29"/>
      <c r="D417" s="114"/>
      <c r="I417" s="129"/>
    </row>
    <row r="418">
      <c r="A418" s="114"/>
      <c r="C418" s="29"/>
      <c r="D418" s="114"/>
      <c r="I418" s="129"/>
    </row>
    <row r="419">
      <c r="A419" s="114"/>
      <c r="C419" s="29"/>
      <c r="D419" s="114"/>
      <c r="I419" s="129"/>
    </row>
    <row r="420">
      <c r="A420" s="114"/>
      <c r="C420" s="29"/>
      <c r="D420" s="114"/>
      <c r="I420" s="129"/>
    </row>
    <row r="421">
      <c r="A421" s="114"/>
      <c r="C421" s="29"/>
      <c r="D421" s="114"/>
      <c r="I421" s="129"/>
    </row>
    <row r="422">
      <c r="A422" s="114"/>
      <c r="C422" s="29"/>
      <c r="D422" s="114"/>
      <c r="I422" s="129"/>
    </row>
    <row r="423">
      <c r="A423" s="114"/>
      <c r="C423" s="29"/>
      <c r="D423" s="114"/>
      <c r="I423" s="129"/>
    </row>
    <row r="424">
      <c r="A424" s="114"/>
      <c r="C424" s="29"/>
      <c r="D424" s="114"/>
      <c r="I424" s="129"/>
    </row>
    <row r="425">
      <c r="A425" s="114"/>
      <c r="C425" s="29"/>
      <c r="D425" s="114"/>
      <c r="I425" s="129"/>
    </row>
    <row r="426">
      <c r="A426" s="114"/>
      <c r="C426" s="29"/>
      <c r="D426" s="114"/>
      <c r="I426" s="129"/>
    </row>
    <row r="427">
      <c r="A427" s="114"/>
      <c r="C427" s="29"/>
      <c r="D427" s="114"/>
      <c r="I427" s="129"/>
    </row>
    <row r="428">
      <c r="A428" s="114"/>
      <c r="C428" s="29"/>
      <c r="D428" s="114"/>
      <c r="I428" s="129"/>
    </row>
    <row r="429">
      <c r="A429" s="114"/>
      <c r="C429" s="29"/>
      <c r="D429" s="114"/>
      <c r="I429" s="129"/>
    </row>
    <row r="430">
      <c r="A430" s="114"/>
      <c r="C430" s="29"/>
      <c r="D430" s="114"/>
      <c r="I430" s="129"/>
    </row>
    <row r="431">
      <c r="A431" s="114"/>
      <c r="C431" s="29"/>
      <c r="D431" s="114"/>
      <c r="I431" s="129"/>
    </row>
    <row r="432">
      <c r="A432" s="114"/>
      <c r="C432" s="29"/>
      <c r="D432" s="114"/>
      <c r="I432" s="129"/>
    </row>
    <row r="433">
      <c r="A433" s="114"/>
      <c r="C433" s="29"/>
      <c r="D433" s="114"/>
      <c r="I433" s="129"/>
    </row>
    <row r="434">
      <c r="A434" s="114"/>
      <c r="C434" s="29"/>
      <c r="D434" s="114"/>
      <c r="I434" s="129"/>
    </row>
    <row r="435">
      <c r="A435" s="114"/>
      <c r="C435" s="29"/>
      <c r="D435" s="114"/>
      <c r="I435" s="129"/>
    </row>
    <row r="436">
      <c r="A436" s="114"/>
      <c r="C436" s="29"/>
      <c r="D436" s="114"/>
      <c r="I436" s="129"/>
    </row>
    <row r="437">
      <c r="A437" s="114"/>
      <c r="C437" s="29"/>
      <c r="D437" s="114"/>
      <c r="I437" s="129"/>
    </row>
    <row r="438">
      <c r="A438" s="114"/>
      <c r="C438" s="29"/>
      <c r="D438" s="114"/>
      <c r="I438" s="129"/>
    </row>
    <row r="439">
      <c r="A439" s="114"/>
      <c r="C439" s="29"/>
      <c r="D439" s="114"/>
      <c r="I439" s="129"/>
    </row>
    <row r="440">
      <c r="A440" s="114"/>
      <c r="C440" s="29"/>
      <c r="D440" s="114"/>
      <c r="I440" s="129"/>
    </row>
    <row r="441">
      <c r="A441" s="114"/>
      <c r="C441" s="29"/>
      <c r="D441" s="114"/>
      <c r="I441" s="129"/>
    </row>
    <row r="442">
      <c r="A442" s="114"/>
      <c r="C442" s="29"/>
      <c r="D442" s="114"/>
      <c r="I442" s="129"/>
    </row>
    <row r="443">
      <c r="A443" s="114"/>
      <c r="C443" s="29"/>
      <c r="D443" s="114"/>
      <c r="I443" s="129"/>
    </row>
    <row r="444">
      <c r="A444" s="114"/>
      <c r="C444" s="29"/>
      <c r="D444" s="114"/>
      <c r="I444" s="129"/>
    </row>
    <row r="445">
      <c r="A445" s="114"/>
      <c r="C445" s="29"/>
      <c r="D445" s="114"/>
      <c r="I445" s="129"/>
    </row>
    <row r="446">
      <c r="A446" s="114"/>
      <c r="C446" s="29"/>
      <c r="D446" s="114"/>
      <c r="I446" s="129"/>
    </row>
    <row r="447">
      <c r="A447" s="114"/>
      <c r="C447" s="29"/>
      <c r="D447" s="114"/>
      <c r="I447" s="129"/>
    </row>
    <row r="448">
      <c r="A448" s="114"/>
      <c r="C448" s="29"/>
      <c r="D448" s="114"/>
      <c r="I448" s="129"/>
    </row>
    <row r="449">
      <c r="A449" s="114"/>
      <c r="C449" s="29"/>
      <c r="D449" s="114"/>
      <c r="I449" s="129"/>
    </row>
    <row r="450">
      <c r="A450" s="114"/>
      <c r="C450" s="29"/>
      <c r="D450" s="114"/>
      <c r="I450" s="129"/>
    </row>
    <row r="451">
      <c r="A451" s="114"/>
      <c r="C451" s="29"/>
      <c r="D451" s="114"/>
      <c r="I451" s="129"/>
    </row>
    <row r="452">
      <c r="A452" s="114"/>
      <c r="C452" s="29"/>
      <c r="D452" s="114"/>
      <c r="I452" s="129"/>
    </row>
    <row r="453">
      <c r="A453" s="114"/>
      <c r="C453" s="29"/>
      <c r="D453" s="114"/>
      <c r="I453" s="129"/>
    </row>
    <row r="454">
      <c r="A454" s="114"/>
      <c r="C454" s="29"/>
      <c r="D454" s="114"/>
      <c r="I454" s="129"/>
    </row>
    <row r="455">
      <c r="A455" s="114"/>
      <c r="C455" s="29"/>
      <c r="D455" s="114"/>
      <c r="I455" s="129"/>
    </row>
    <row r="456">
      <c r="A456" s="114"/>
      <c r="C456" s="29"/>
      <c r="D456" s="114"/>
      <c r="I456" s="129"/>
    </row>
    <row r="457">
      <c r="A457" s="114"/>
      <c r="C457" s="29"/>
      <c r="D457" s="114"/>
      <c r="I457" s="129"/>
    </row>
    <row r="458">
      <c r="A458" s="114"/>
      <c r="C458" s="29"/>
      <c r="D458" s="114"/>
      <c r="I458" s="129"/>
    </row>
    <row r="459">
      <c r="A459" s="114"/>
      <c r="C459" s="29"/>
      <c r="D459" s="114"/>
      <c r="I459" s="129"/>
    </row>
    <row r="460">
      <c r="A460" s="114"/>
      <c r="C460" s="29"/>
      <c r="D460" s="114"/>
      <c r="I460" s="129"/>
    </row>
    <row r="461">
      <c r="A461" s="114"/>
      <c r="C461" s="29"/>
      <c r="D461" s="114"/>
      <c r="I461" s="129"/>
    </row>
    <row r="462">
      <c r="A462" s="114"/>
      <c r="C462" s="29"/>
      <c r="D462" s="114"/>
      <c r="I462" s="129"/>
    </row>
    <row r="463">
      <c r="A463" s="114"/>
      <c r="C463" s="29"/>
      <c r="D463" s="114"/>
      <c r="I463" s="129"/>
    </row>
    <row r="464">
      <c r="A464" s="114"/>
      <c r="C464" s="29"/>
      <c r="D464" s="114"/>
      <c r="I464" s="129"/>
    </row>
    <row r="465">
      <c r="A465" s="114"/>
      <c r="C465" s="29"/>
      <c r="D465" s="114"/>
      <c r="I465" s="129"/>
    </row>
    <row r="466">
      <c r="A466" s="114"/>
      <c r="C466" s="29"/>
      <c r="D466" s="114"/>
      <c r="I466" s="129"/>
    </row>
    <row r="467">
      <c r="A467" s="114"/>
      <c r="C467" s="29"/>
      <c r="D467" s="114"/>
      <c r="I467" s="129"/>
    </row>
    <row r="468">
      <c r="A468" s="114"/>
      <c r="C468" s="29"/>
      <c r="D468" s="114"/>
      <c r="I468" s="129"/>
    </row>
    <row r="469">
      <c r="A469" s="114"/>
      <c r="C469" s="29"/>
      <c r="D469" s="114"/>
      <c r="I469" s="129"/>
    </row>
    <row r="470">
      <c r="A470" s="114"/>
      <c r="C470" s="29"/>
      <c r="D470" s="114"/>
      <c r="I470" s="129"/>
    </row>
    <row r="471">
      <c r="A471" s="114"/>
      <c r="C471" s="29"/>
      <c r="D471" s="114"/>
      <c r="I471" s="129"/>
    </row>
    <row r="472">
      <c r="A472" s="114"/>
      <c r="C472" s="29"/>
      <c r="D472" s="114"/>
      <c r="I472" s="129"/>
    </row>
    <row r="473">
      <c r="A473" s="114"/>
      <c r="C473" s="29"/>
      <c r="D473" s="114"/>
      <c r="I473" s="129"/>
    </row>
    <row r="474">
      <c r="A474" s="114"/>
      <c r="C474" s="29"/>
      <c r="D474" s="114"/>
      <c r="I474" s="129"/>
    </row>
    <row r="475">
      <c r="A475" s="114"/>
      <c r="C475" s="29"/>
      <c r="D475" s="114"/>
      <c r="I475" s="129"/>
    </row>
    <row r="476">
      <c r="A476" s="114"/>
      <c r="C476" s="29"/>
      <c r="D476" s="114"/>
      <c r="I476" s="129"/>
    </row>
    <row r="477">
      <c r="A477" s="114"/>
      <c r="C477" s="29"/>
      <c r="D477" s="114"/>
      <c r="I477" s="129"/>
    </row>
    <row r="478">
      <c r="A478" s="114"/>
      <c r="C478" s="29"/>
      <c r="D478" s="114"/>
      <c r="I478" s="129"/>
    </row>
    <row r="479">
      <c r="A479" s="114"/>
      <c r="C479" s="29"/>
      <c r="D479" s="114"/>
      <c r="I479" s="129"/>
    </row>
    <row r="480">
      <c r="A480" s="114"/>
      <c r="C480" s="29"/>
      <c r="D480" s="114"/>
      <c r="I480" s="129"/>
    </row>
    <row r="481">
      <c r="A481" s="114"/>
      <c r="C481" s="29"/>
      <c r="D481" s="114"/>
      <c r="I481" s="129"/>
    </row>
    <row r="482">
      <c r="A482" s="114"/>
      <c r="C482" s="29"/>
      <c r="D482" s="114"/>
      <c r="I482" s="129"/>
    </row>
    <row r="483">
      <c r="A483" s="114"/>
      <c r="C483" s="29"/>
      <c r="D483" s="114"/>
      <c r="I483" s="129"/>
    </row>
    <row r="484">
      <c r="A484" s="114"/>
      <c r="C484" s="29"/>
      <c r="D484" s="114"/>
      <c r="I484" s="129"/>
    </row>
    <row r="485">
      <c r="A485" s="114"/>
      <c r="C485" s="29"/>
      <c r="D485" s="114"/>
      <c r="I485" s="129"/>
    </row>
    <row r="486">
      <c r="A486" s="114"/>
      <c r="C486" s="29"/>
      <c r="D486" s="114"/>
      <c r="I486" s="129"/>
    </row>
    <row r="487">
      <c r="A487" s="114"/>
      <c r="C487" s="29"/>
      <c r="D487" s="114"/>
      <c r="I487" s="129"/>
    </row>
    <row r="488">
      <c r="A488" s="114"/>
      <c r="C488" s="29"/>
      <c r="D488" s="114"/>
      <c r="I488" s="129"/>
    </row>
    <row r="489">
      <c r="A489" s="114"/>
      <c r="C489" s="29"/>
      <c r="D489" s="114"/>
      <c r="I489" s="129"/>
    </row>
    <row r="490">
      <c r="A490" s="114"/>
      <c r="C490" s="29"/>
      <c r="D490" s="114"/>
      <c r="I490" s="129"/>
    </row>
    <row r="491">
      <c r="A491" s="114"/>
      <c r="C491" s="29"/>
      <c r="D491" s="114"/>
      <c r="I491" s="129"/>
    </row>
    <row r="492">
      <c r="A492" s="114"/>
      <c r="C492" s="29"/>
      <c r="D492" s="114"/>
      <c r="I492" s="129"/>
    </row>
    <row r="493">
      <c r="A493" s="114"/>
      <c r="C493" s="29"/>
      <c r="D493" s="114"/>
      <c r="I493" s="129"/>
    </row>
    <row r="494">
      <c r="A494" s="114"/>
      <c r="C494" s="29"/>
      <c r="D494" s="114"/>
      <c r="I494" s="129"/>
    </row>
    <row r="495">
      <c r="A495" s="114"/>
      <c r="C495" s="29"/>
      <c r="D495" s="114"/>
      <c r="I495" s="129"/>
    </row>
    <row r="496">
      <c r="A496" s="114"/>
      <c r="C496" s="29"/>
      <c r="D496" s="114"/>
      <c r="I496" s="129"/>
    </row>
    <row r="497">
      <c r="A497" s="114"/>
      <c r="C497" s="29"/>
      <c r="D497" s="114"/>
      <c r="I497" s="129"/>
    </row>
    <row r="498">
      <c r="A498" s="114"/>
      <c r="C498" s="29"/>
      <c r="D498" s="114"/>
      <c r="I498" s="129"/>
    </row>
    <row r="499">
      <c r="A499" s="114"/>
      <c r="C499" s="29"/>
      <c r="D499" s="114"/>
      <c r="I499" s="129"/>
    </row>
    <row r="500">
      <c r="A500" s="114"/>
      <c r="C500" s="29"/>
      <c r="D500" s="114"/>
      <c r="I500" s="129"/>
    </row>
    <row r="501">
      <c r="A501" s="114"/>
      <c r="C501" s="29"/>
      <c r="D501" s="114"/>
      <c r="I501" s="129"/>
    </row>
    <row r="502">
      <c r="A502" s="114"/>
      <c r="C502" s="29"/>
      <c r="D502" s="114"/>
      <c r="I502" s="129"/>
    </row>
    <row r="503">
      <c r="A503" s="114"/>
      <c r="C503" s="29"/>
      <c r="D503" s="114"/>
      <c r="I503" s="129"/>
    </row>
    <row r="504">
      <c r="A504" s="114"/>
      <c r="C504" s="29"/>
      <c r="D504" s="114"/>
      <c r="I504" s="129"/>
    </row>
    <row r="505">
      <c r="A505" s="114"/>
      <c r="C505" s="29"/>
      <c r="D505" s="114"/>
      <c r="I505" s="129"/>
    </row>
    <row r="506">
      <c r="A506" s="114"/>
      <c r="C506" s="29"/>
      <c r="D506" s="114"/>
      <c r="I506" s="129"/>
    </row>
    <row r="507">
      <c r="A507" s="114"/>
      <c r="C507" s="29"/>
      <c r="D507" s="114"/>
      <c r="I507" s="129"/>
    </row>
    <row r="508">
      <c r="A508" s="114"/>
      <c r="C508" s="29"/>
      <c r="D508" s="114"/>
      <c r="I508" s="129"/>
    </row>
    <row r="509">
      <c r="A509" s="114"/>
      <c r="C509" s="29"/>
      <c r="D509" s="114"/>
      <c r="I509" s="129"/>
    </row>
    <row r="510">
      <c r="A510" s="114"/>
      <c r="C510" s="29"/>
      <c r="D510" s="114"/>
      <c r="I510" s="129"/>
    </row>
    <row r="511">
      <c r="A511" s="114"/>
      <c r="C511" s="29"/>
      <c r="D511" s="114"/>
      <c r="I511" s="129"/>
    </row>
    <row r="512">
      <c r="A512" s="114"/>
      <c r="C512" s="29"/>
      <c r="D512" s="114"/>
      <c r="I512" s="129"/>
    </row>
    <row r="513">
      <c r="A513" s="114"/>
      <c r="C513" s="29"/>
      <c r="D513" s="114"/>
      <c r="I513" s="129"/>
    </row>
    <row r="514">
      <c r="A514" s="114"/>
      <c r="C514" s="29"/>
      <c r="D514" s="114"/>
      <c r="I514" s="129"/>
    </row>
    <row r="515">
      <c r="A515" s="114"/>
      <c r="C515" s="29"/>
      <c r="D515" s="114"/>
      <c r="I515" s="129"/>
    </row>
    <row r="516">
      <c r="A516" s="114"/>
      <c r="C516" s="29"/>
      <c r="D516" s="114"/>
      <c r="I516" s="129"/>
    </row>
    <row r="517">
      <c r="A517" s="114"/>
      <c r="C517" s="29"/>
      <c r="D517" s="114"/>
      <c r="I517" s="129"/>
    </row>
    <row r="518">
      <c r="A518" s="114"/>
      <c r="C518" s="29"/>
      <c r="D518" s="114"/>
      <c r="I518" s="129"/>
    </row>
    <row r="519">
      <c r="A519" s="114"/>
      <c r="C519" s="29"/>
      <c r="D519" s="114"/>
      <c r="I519" s="129"/>
    </row>
    <row r="520">
      <c r="A520" s="114"/>
      <c r="C520" s="29"/>
      <c r="D520" s="114"/>
      <c r="I520" s="129"/>
    </row>
    <row r="521">
      <c r="A521" s="114"/>
      <c r="C521" s="29"/>
      <c r="D521" s="114"/>
      <c r="I521" s="129"/>
    </row>
    <row r="522">
      <c r="A522" s="114"/>
      <c r="C522" s="29"/>
      <c r="D522" s="114"/>
      <c r="I522" s="129"/>
    </row>
    <row r="523">
      <c r="A523" s="114"/>
      <c r="C523" s="29"/>
      <c r="D523" s="114"/>
      <c r="I523" s="129"/>
    </row>
    <row r="524">
      <c r="A524" s="114"/>
      <c r="C524" s="29"/>
      <c r="D524" s="114"/>
      <c r="I524" s="129"/>
    </row>
    <row r="525">
      <c r="A525" s="114"/>
      <c r="C525" s="29"/>
      <c r="D525" s="114"/>
      <c r="I525" s="129"/>
    </row>
    <row r="526">
      <c r="A526" s="114"/>
      <c r="C526" s="29"/>
      <c r="D526" s="114"/>
      <c r="I526" s="129"/>
    </row>
    <row r="527">
      <c r="A527" s="114"/>
      <c r="C527" s="29"/>
      <c r="D527" s="114"/>
      <c r="I527" s="129"/>
    </row>
    <row r="528">
      <c r="A528" s="114"/>
      <c r="C528" s="29"/>
      <c r="D528" s="114"/>
      <c r="I528" s="129"/>
    </row>
    <row r="529">
      <c r="A529" s="114"/>
      <c r="C529" s="29"/>
      <c r="D529" s="114"/>
      <c r="I529" s="129"/>
    </row>
    <row r="530">
      <c r="A530" s="114"/>
      <c r="C530" s="29"/>
      <c r="D530" s="114"/>
      <c r="I530" s="129"/>
    </row>
    <row r="531">
      <c r="A531" s="114"/>
      <c r="C531" s="29"/>
      <c r="D531" s="114"/>
      <c r="I531" s="129"/>
    </row>
    <row r="532">
      <c r="A532" s="114"/>
      <c r="C532" s="29"/>
      <c r="D532" s="114"/>
      <c r="I532" s="129"/>
    </row>
    <row r="533">
      <c r="A533" s="114"/>
      <c r="C533" s="29"/>
      <c r="D533" s="114"/>
      <c r="I533" s="129"/>
    </row>
    <row r="534">
      <c r="A534" s="114"/>
      <c r="C534" s="29"/>
      <c r="D534" s="114"/>
      <c r="I534" s="129"/>
    </row>
    <row r="535">
      <c r="A535" s="114"/>
      <c r="C535" s="29"/>
      <c r="D535" s="114"/>
      <c r="I535" s="129"/>
    </row>
    <row r="536">
      <c r="A536" s="114"/>
      <c r="C536" s="29"/>
      <c r="D536" s="114"/>
      <c r="I536" s="129"/>
    </row>
    <row r="537">
      <c r="A537" s="114"/>
      <c r="C537" s="29"/>
      <c r="D537" s="114"/>
      <c r="I537" s="129"/>
    </row>
    <row r="538">
      <c r="A538" s="114"/>
      <c r="C538" s="29"/>
      <c r="D538" s="114"/>
      <c r="I538" s="129"/>
    </row>
    <row r="539">
      <c r="A539" s="114"/>
      <c r="C539" s="29"/>
      <c r="D539" s="114"/>
      <c r="I539" s="129"/>
    </row>
    <row r="540">
      <c r="A540" s="114"/>
      <c r="C540" s="29"/>
      <c r="D540" s="114"/>
      <c r="I540" s="129"/>
    </row>
    <row r="541">
      <c r="A541" s="114"/>
      <c r="C541" s="29"/>
      <c r="D541" s="114"/>
      <c r="I541" s="129"/>
    </row>
    <row r="542">
      <c r="A542" s="114"/>
      <c r="C542" s="29"/>
      <c r="D542" s="114"/>
      <c r="I542" s="129"/>
    </row>
    <row r="543">
      <c r="A543" s="114"/>
      <c r="C543" s="29"/>
      <c r="D543" s="114"/>
      <c r="I543" s="129"/>
    </row>
    <row r="544">
      <c r="A544" s="114"/>
      <c r="C544" s="29"/>
      <c r="D544" s="114"/>
      <c r="I544" s="129"/>
    </row>
    <row r="545">
      <c r="A545" s="114"/>
      <c r="C545" s="29"/>
      <c r="D545" s="114"/>
      <c r="I545" s="129"/>
    </row>
    <row r="546">
      <c r="A546" s="114"/>
      <c r="C546" s="29"/>
      <c r="D546" s="114"/>
      <c r="I546" s="129"/>
    </row>
    <row r="547">
      <c r="A547" s="114"/>
      <c r="C547" s="29"/>
      <c r="D547" s="114"/>
      <c r="I547" s="129"/>
    </row>
    <row r="548">
      <c r="A548" s="114"/>
      <c r="C548" s="29"/>
      <c r="D548" s="114"/>
      <c r="I548" s="129"/>
    </row>
    <row r="549">
      <c r="A549" s="114"/>
      <c r="C549" s="29"/>
      <c r="D549" s="114"/>
      <c r="I549" s="129"/>
    </row>
    <row r="550">
      <c r="A550" s="114"/>
      <c r="C550" s="29"/>
      <c r="D550" s="114"/>
      <c r="I550" s="129"/>
    </row>
    <row r="551">
      <c r="A551" s="114"/>
      <c r="C551" s="29"/>
      <c r="D551" s="114"/>
      <c r="I551" s="129"/>
    </row>
    <row r="552">
      <c r="A552" s="114"/>
      <c r="C552" s="29"/>
      <c r="D552" s="114"/>
      <c r="I552" s="129"/>
    </row>
    <row r="553">
      <c r="A553" s="114"/>
      <c r="C553" s="29"/>
      <c r="D553" s="114"/>
      <c r="I553" s="129"/>
    </row>
    <row r="554">
      <c r="A554" s="114"/>
      <c r="C554" s="29"/>
      <c r="D554" s="114"/>
      <c r="I554" s="129"/>
    </row>
    <row r="555">
      <c r="A555" s="114"/>
      <c r="C555" s="29"/>
      <c r="D555" s="114"/>
      <c r="I555" s="129"/>
    </row>
    <row r="556">
      <c r="A556" s="114"/>
      <c r="C556" s="29"/>
      <c r="D556" s="114"/>
      <c r="I556" s="129"/>
    </row>
    <row r="557">
      <c r="A557" s="114"/>
      <c r="C557" s="29"/>
      <c r="D557" s="114"/>
      <c r="I557" s="129"/>
    </row>
    <row r="558">
      <c r="A558" s="114"/>
      <c r="C558" s="29"/>
      <c r="D558" s="114"/>
      <c r="I558" s="129"/>
    </row>
    <row r="559">
      <c r="A559" s="114"/>
      <c r="C559" s="29"/>
      <c r="D559" s="114"/>
      <c r="I559" s="129"/>
    </row>
    <row r="560">
      <c r="A560" s="114"/>
      <c r="C560" s="29"/>
      <c r="D560" s="114"/>
      <c r="I560" s="129"/>
    </row>
    <row r="561">
      <c r="A561" s="114"/>
      <c r="C561" s="29"/>
      <c r="D561" s="114"/>
      <c r="I561" s="129"/>
    </row>
    <row r="562">
      <c r="A562" s="114"/>
      <c r="C562" s="29"/>
      <c r="D562" s="114"/>
      <c r="I562" s="129"/>
    </row>
    <row r="563">
      <c r="A563" s="114"/>
      <c r="C563" s="29"/>
      <c r="D563" s="114"/>
      <c r="I563" s="129"/>
    </row>
    <row r="564">
      <c r="A564" s="114"/>
      <c r="C564" s="29"/>
      <c r="D564" s="114"/>
      <c r="I564" s="129"/>
    </row>
    <row r="565">
      <c r="A565" s="114"/>
      <c r="C565" s="29"/>
      <c r="D565" s="114"/>
      <c r="I565" s="129"/>
    </row>
    <row r="566">
      <c r="A566" s="114"/>
      <c r="C566" s="29"/>
      <c r="D566" s="114"/>
      <c r="I566" s="129"/>
    </row>
    <row r="567">
      <c r="A567" s="114"/>
      <c r="C567" s="29"/>
      <c r="D567" s="114"/>
      <c r="I567" s="129"/>
    </row>
    <row r="568">
      <c r="A568" s="114"/>
      <c r="C568" s="29"/>
      <c r="D568" s="114"/>
      <c r="I568" s="129"/>
    </row>
    <row r="569">
      <c r="A569" s="114"/>
      <c r="C569" s="29"/>
      <c r="D569" s="114"/>
      <c r="I569" s="129"/>
    </row>
    <row r="570">
      <c r="A570" s="114"/>
      <c r="C570" s="29"/>
      <c r="D570" s="114"/>
      <c r="I570" s="129"/>
    </row>
    <row r="571">
      <c r="A571" s="114"/>
      <c r="C571" s="29"/>
      <c r="D571" s="114"/>
      <c r="I571" s="129"/>
    </row>
    <row r="572">
      <c r="A572" s="114"/>
      <c r="C572" s="29"/>
      <c r="D572" s="114"/>
      <c r="I572" s="129"/>
    </row>
    <row r="573">
      <c r="A573" s="114"/>
      <c r="C573" s="29"/>
      <c r="D573" s="114"/>
      <c r="I573" s="129"/>
    </row>
    <row r="574">
      <c r="A574" s="114"/>
      <c r="C574" s="29"/>
      <c r="D574" s="114"/>
      <c r="I574" s="129"/>
    </row>
    <row r="575">
      <c r="A575" s="114"/>
      <c r="C575" s="29"/>
      <c r="D575" s="114"/>
      <c r="I575" s="129"/>
    </row>
    <row r="576">
      <c r="A576" s="114"/>
      <c r="C576" s="29"/>
      <c r="D576" s="114"/>
      <c r="I576" s="129"/>
    </row>
    <row r="577">
      <c r="A577" s="114"/>
      <c r="C577" s="29"/>
      <c r="D577" s="114"/>
      <c r="I577" s="129"/>
    </row>
    <row r="578">
      <c r="A578" s="114"/>
      <c r="C578" s="29"/>
      <c r="D578" s="114"/>
      <c r="I578" s="129"/>
    </row>
    <row r="579">
      <c r="A579" s="114"/>
      <c r="C579" s="29"/>
      <c r="D579" s="114"/>
      <c r="I579" s="129"/>
    </row>
    <row r="580">
      <c r="A580" s="114"/>
      <c r="C580" s="29"/>
      <c r="D580" s="114"/>
      <c r="I580" s="129"/>
    </row>
    <row r="581">
      <c r="A581" s="114"/>
      <c r="C581" s="29"/>
      <c r="D581" s="114"/>
      <c r="I581" s="129"/>
    </row>
    <row r="582">
      <c r="A582" s="114"/>
      <c r="C582" s="29"/>
      <c r="D582" s="114"/>
      <c r="I582" s="129"/>
    </row>
    <row r="583">
      <c r="A583" s="114"/>
      <c r="C583" s="29"/>
      <c r="D583" s="114"/>
      <c r="I583" s="129"/>
    </row>
    <row r="584">
      <c r="A584" s="114"/>
      <c r="C584" s="29"/>
      <c r="D584" s="114"/>
      <c r="I584" s="129"/>
    </row>
    <row r="585">
      <c r="A585" s="114"/>
      <c r="C585" s="29"/>
      <c r="D585" s="114"/>
      <c r="I585" s="129"/>
    </row>
    <row r="586">
      <c r="A586" s="114"/>
      <c r="C586" s="29"/>
      <c r="D586" s="114"/>
      <c r="I586" s="129"/>
    </row>
    <row r="587">
      <c r="A587" s="114"/>
      <c r="C587" s="29"/>
      <c r="D587" s="114"/>
      <c r="I587" s="129"/>
    </row>
    <row r="588">
      <c r="A588" s="114"/>
      <c r="C588" s="29"/>
      <c r="D588" s="114"/>
      <c r="I588" s="129"/>
    </row>
    <row r="589">
      <c r="A589" s="114"/>
      <c r="C589" s="29"/>
      <c r="D589" s="114"/>
      <c r="I589" s="129"/>
    </row>
    <row r="590">
      <c r="A590" s="114"/>
      <c r="C590" s="29"/>
      <c r="D590" s="114"/>
      <c r="I590" s="129"/>
    </row>
    <row r="591">
      <c r="A591" s="114"/>
      <c r="C591" s="29"/>
      <c r="D591" s="114"/>
      <c r="I591" s="129"/>
    </row>
    <row r="592">
      <c r="A592" s="114"/>
      <c r="C592" s="29"/>
      <c r="D592" s="114"/>
      <c r="I592" s="129"/>
    </row>
    <row r="593">
      <c r="A593" s="114"/>
      <c r="C593" s="29"/>
      <c r="D593" s="114"/>
      <c r="I593" s="129"/>
    </row>
    <row r="594">
      <c r="A594" s="114"/>
      <c r="C594" s="29"/>
      <c r="D594" s="114"/>
      <c r="I594" s="129"/>
    </row>
    <row r="595">
      <c r="A595" s="114"/>
      <c r="C595" s="29"/>
      <c r="D595" s="114"/>
      <c r="I595" s="129"/>
    </row>
    <row r="596">
      <c r="A596" s="114"/>
      <c r="C596" s="29"/>
      <c r="D596" s="114"/>
      <c r="I596" s="129"/>
    </row>
    <row r="597">
      <c r="A597" s="114"/>
      <c r="C597" s="29"/>
      <c r="D597" s="114"/>
      <c r="I597" s="129"/>
    </row>
    <row r="598">
      <c r="A598" s="114"/>
      <c r="C598" s="29"/>
      <c r="D598" s="114"/>
      <c r="I598" s="129"/>
    </row>
    <row r="599">
      <c r="A599" s="114"/>
      <c r="C599" s="29"/>
      <c r="D599" s="114"/>
      <c r="I599" s="129"/>
    </row>
    <row r="600">
      <c r="A600" s="114"/>
      <c r="C600" s="29"/>
      <c r="D600" s="114"/>
      <c r="I600" s="129"/>
    </row>
    <row r="601">
      <c r="A601" s="114"/>
      <c r="C601" s="29"/>
      <c r="D601" s="114"/>
      <c r="I601" s="129"/>
    </row>
    <row r="602">
      <c r="A602" s="114"/>
      <c r="C602" s="29"/>
      <c r="D602" s="114"/>
      <c r="I602" s="129"/>
    </row>
    <row r="603">
      <c r="A603" s="114"/>
      <c r="C603" s="29"/>
      <c r="D603" s="114"/>
      <c r="I603" s="129"/>
    </row>
    <row r="604">
      <c r="A604" s="114"/>
      <c r="C604" s="29"/>
      <c r="D604" s="114"/>
      <c r="I604" s="129"/>
    </row>
    <row r="605">
      <c r="A605" s="114"/>
      <c r="C605" s="29"/>
      <c r="D605" s="114"/>
      <c r="I605" s="129"/>
    </row>
    <row r="606">
      <c r="A606" s="114"/>
      <c r="C606" s="29"/>
      <c r="D606" s="114"/>
      <c r="I606" s="129"/>
    </row>
    <row r="607">
      <c r="A607" s="114"/>
      <c r="C607" s="29"/>
      <c r="D607" s="114"/>
      <c r="I607" s="129"/>
    </row>
    <row r="608">
      <c r="A608" s="114"/>
      <c r="C608" s="29"/>
      <c r="D608" s="114"/>
      <c r="I608" s="129"/>
    </row>
    <row r="609">
      <c r="A609" s="114"/>
      <c r="C609" s="29"/>
      <c r="D609" s="114"/>
      <c r="I609" s="129"/>
    </row>
    <row r="610">
      <c r="A610" s="114"/>
      <c r="C610" s="29"/>
      <c r="D610" s="114"/>
      <c r="I610" s="129"/>
    </row>
    <row r="611">
      <c r="A611" s="114"/>
      <c r="C611" s="29"/>
      <c r="D611" s="114"/>
      <c r="I611" s="129"/>
    </row>
    <row r="612">
      <c r="A612" s="114"/>
      <c r="C612" s="29"/>
      <c r="D612" s="114"/>
      <c r="I612" s="129"/>
    </row>
    <row r="613">
      <c r="A613" s="114"/>
      <c r="C613" s="29"/>
      <c r="D613" s="114"/>
      <c r="I613" s="129"/>
    </row>
    <row r="614">
      <c r="A614" s="114"/>
      <c r="C614" s="29"/>
      <c r="D614" s="114"/>
      <c r="I614" s="129"/>
    </row>
    <row r="615">
      <c r="A615" s="114"/>
      <c r="C615" s="29"/>
      <c r="D615" s="114"/>
      <c r="I615" s="129"/>
    </row>
    <row r="616">
      <c r="A616" s="114"/>
      <c r="C616" s="29"/>
      <c r="D616" s="114"/>
      <c r="I616" s="129"/>
    </row>
    <row r="617">
      <c r="A617" s="114"/>
      <c r="C617" s="29"/>
      <c r="D617" s="114"/>
      <c r="I617" s="129"/>
    </row>
    <row r="618">
      <c r="A618" s="114"/>
      <c r="C618" s="29"/>
      <c r="D618" s="114"/>
      <c r="I618" s="129"/>
    </row>
    <row r="619">
      <c r="A619" s="114"/>
      <c r="C619" s="29"/>
      <c r="D619" s="114"/>
      <c r="I619" s="129"/>
    </row>
    <row r="620">
      <c r="A620" s="114"/>
      <c r="C620" s="29"/>
      <c r="D620" s="114"/>
      <c r="I620" s="129"/>
    </row>
    <row r="621">
      <c r="A621" s="114"/>
      <c r="C621" s="29"/>
      <c r="D621" s="114"/>
      <c r="I621" s="129"/>
    </row>
    <row r="622">
      <c r="A622" s="114"/>
      <c r="C622" s="29"/>
      <c r="D622" s="114"/>
      <c r="I622" s="129"/>
    </row>
    <row r="623">
      <c r="A623" s="114"/>
      <c r="C623" s="29"/>
      <c r="D623" s="114"/>
      <c r="I623" s="129"/>
    </row>
    <row r="624">
      <c r="A624" s="114"/>
      <c r="C624" s="29"/>
      <c r="D624" s="114"/>
      <c r="I624" s="129"/>
    </row>
    <row r="625">
      <c r="A625" s="114"/>
      <c r="C625" s="29"/>
      <c r="D625" s="114"/>
      <c r="I625" s="129"/>
    </row>
    <row r="626">
      <c r="A626" s="114"/>
      <c r="C626" s="29"/>
      <c r="D626" s="114"/>
      <c r="I626" s="129"/>
    </row>
    <row r="627">
      <c r="A627" s="114"/>
      <c r="C627" s="29"/>
      <c r="D627" s="114"/>
      <c r="I627" s="129"/>
    </row>
    <row r="628">
      <c r="A628" s="114"/>
      <c r="C628" s="29"/>
      <c r="D628" s="114"/>
      <c r="I628" s="129"/>
    </row>
    <row r="629">
      <c r="A629" s="114"/>
      <c r="C629" s="29"/>
      <c r="D629" s="114"/>
      <c r="I629" s="129"/>
    </row>
    <row r="630">
      <c r="A630" s="114"/>
      <c r="C630" s="29"/>
      <c r="D630" s="114"/>
      <c r="I630" s="129"/>
    </row>
    <row r="631">
      <c r="A631" s="114"/>
      <c r="C631" s="29"/>
      <c r="D631" s="114"/>
      <c r="I631" s="129"/>
    </row>
    <row r="632">
      <c r="A632" s="114"/>
      <c r="C632" s="29"/>
      <c r="D632" s="114"/>
      <c r="I632" s="129"/>
    </row>
    <row r="633">
      <c r="A633" s="114"/>
      <c r="C633" s="29"/>
      <c r="D633" s="114"/>
      <c r="I633" s="129"/>
    </row>
    <row r="634">
      <c r="A634" s="114"/>
      <c r="C634" s="29"/>
      <c r="D634" s="114"/>
      <c r="I634" s="129"/>
    </row>
    <row r="635">
      <c r="A635" s="114"/>
      <c r="C635" s="29"/>
      <c r="D635" s="114"/>
      <c r="I635" s="129"/>
    </row>
    <row r="636">
      <c r="A636" s="114"/>
      <c r="C636" s="29"/>
      <c r="D636" s="114"/>
      <c r="I636" s="129"/>
    </row>
    <row r="637">
      <c r="A637" s="114"/>
      <c r="C637" s="29"/>
      <c r="D637" s="114"/>
      <c r="I637" s="129"/>
    </row>
    <row r="638">
      <c r="A638" s="114"/>
      <c r="C638" s="29"/>
      <c r="D638" s="114"/>
      <c r="I638" s="129"/>
    </row>
    <row r="639">
      <c r="A639" s="114"/>
      <c r="C639" s="29"/>
      <c r="D639" s="114"/>
      <c r="I639" s="129"/>
    </row>
    <row r="640">
      <c r="A640" s="114"/>
      <c r="C640" s="29"/>
      <c r="D640" s="114"/>
      <c r="I640" s="129"/>
    </row>
    <row r="641">
      <c r="A641" s="114"/>
      <c r="C641" s="29"/>
      <c r="D641" s="114"/>
      <c r="I641" s="129"/>
    </row>
    <row r="642">
      <c r="A642" s="114"/>
      <c r="C642" s="29"/>
      <c r="D642" s="114"/>
      <c r="I642" s="129"/>
    </row>
    <row r="643">
      <c r="A643" s="114"/>
      <c r="C643" s="29"/>
      <c r="D643" s="114"/>
      <c r="I643" s="129"/>
    </row>
    <row r="644">
      <c r="A644" s="114"/>
      <c r="C644" s="29"/>
      <c r="D644" s="114"/>
      <c r="I644" s="129"/>
    </row>
    <row r="645">
      <c r="A645" s="114"/>
      <c r="C645" s="29"/>
      <c r="D645" s="114"/>
      <c r="I645" s="129"/>
    </row>
    <row r="646">
      <c r="A646" s="114"/>
      <c r="C646" s="29"/>
      <c r="D646" s="114"/>
      <c r="I646" s="129"/>
    </row>
    <row r="647">
      <c r="A647" s="114"/>
      <c r="C647" s="29"/>
      <c r="D647" s="114"/>
      <c r="I647" s="129"/>
    </row>
    <row r="648">
      <c r="A648" s="114"/>
      <c r="C648" s="29"/>
      <c r="D648" s="114"/>
      <c r="I648" s="129"/>
    </row>
    <row r="649">
      <c r="A649" s="114"/>
      <c r="C649" s="29"/>
      <c r="D649" s="114"/>
      <c r="I649" s="129"/>
    </row>
    <row r="650">
      <c r="A650" s="114"/>
      <c r="C650" s="29"/>
      <c r="D650" s="114"/>
      <c r="I650" s="129"/>
    </row>
    <row r="651">
      <c r="A651" s="114"/>
      <c r="C651" s="29"/>
      <c r="D651" s="114"/>
      <c r="I651" s="129"/>
    </row>
    <row r="652">
      <c r="A652" s="114"/>
      <c r="C652" s="29"/>
      <c r="D652" s="114"/>
      <c r="I652" s="129"/>
    </row>
    <row r="653">
      <c r="A653" s="114"/>
      <c r="C653" s="29"/>
      <c r="D653" s="114"/>
      <c r="I653" s="129"/>
    </row>
    <row r="654">
      <c r="A654" s="114"/>
      <c r="C654" s="29"/>
      <c r="D654" s="114"/>
      <c r="I654" s="129"/>
    </row>
    <row r="655">
      <c r="A655" s="114"/>
      <c r="C655" s="29"/>
      <c r="D655" s="114"/>
      <c r="I655" s="129"/>
    </row>
    <row r="656">
      <c r="A656" s="114"/>
      <c r="C656" s="29"/>
      <c r="D656" s="114"/>
      <c r="I656" s="129"/>
    </row>
    <row r="657">
      <c r="A657" s="114"/>
      <c r="C657" s="29"/>
      <c r="D657" s="114"/>
      <c r="I657" s="129"/>
    </row>
    <row r="658">
      <c r="A658" s="114"/>
      <c r="C658" s="29"/>
      <c r="D658" s="114"/>
      <c r="I658" s="129"/>
    </row>
    <row r="659">
      <c r="A659" s="114"/>
      <c r="C659" s="29"/>
      <c r="D659" s="114"/>
      <c r="I659" s="129"/>
    </row>
    <row r="660">
      <c r="A660" s="114"/>
      <c r="C660" s="29"/>
      <c r="D660" s="114"/>
      <c r="I660" s="129"/>
    </row>
    <row r="661">
      <c r="A661" s="114"/>
      <c r="C661" s="29"/>
      <c r="D661" s="114"/>
      <c r="I661" s="129"/>
    </row>
    <row r="662">
      <c r="A662" s="114"/>
      <c r="C662" s="29"/>
      <c r="D662" s="114"/>
      <c r="I662" s="129"/>
    </row>
    <row r="663">
      <c r="A663" s="114"/>
      <c r="C663" s="29"/>
      <c r="D663" s="114"/>
      <c r="I663" s="129"/>
    </row>
    <row r="664">
      <c r="A664" s="114"/>
      <c r="C664" s="29"/>
      <c r="D664" s="114"/>
      <c r="I664" s="129"/>
    </row>
    <row r="665">
      <c r="A665" s="114"/>
      <c r="C665" s="29"/>
      <c r="D665" s="114"/>
      <c r="I665" s="129"/>
    </row>
    <row r="666">
      <c r="A666" s="114"/>
      <c r="C666" s="29"/>
      <c r="D666" s="114"/>
      <c r="I666" s="129"/>
    </row>
    <row r="667">
      <c r="A667" s="114"/>
      <c r="C667" s="29"/>
      <c r="D667" s="114"/>
      <c r="I667" s="129"/>
    </row>
    <row r="668">
      <c r="A668" s="114"/>
      <c r="C668" s="29"/>
      <c r="D668" s="114"/>
      <c r="I668" s="129"/>
    </row>
    <row r="669">
      <c r="A669" s="114"/>
      <c r="C669" s="29"/>
      <c r="D669" s="114"/>
      <c r="I669" s="129"/>
    </row>
    <row r="670">
      <c r="A670" s="114"/>
      <c r="C670" s="29"/>
      <c r="D670" s="114"/>
      <c r="I670" s="129"/>
    </row>
    <row r="671">
      <c r="A671" s="114"/>
      <c r="C671" s="29"/>
      <c r="D671" s="114"/>
      <c r="I671" s="129"/>
    </row>
    <row r="672">
      <c r="A672" s="114"/>
      <c r="C672" s="29"/>
      <c r="D672" s="114"/>
      <c r="I672" s="129"/>
    </row>
    <row r="673">
      <c r="A673" s="114"/>
      <c r="C673" s="29"/>
      <c r="D673" s="114"/>
      <c r="I673" s="129"/>
    </row>
    <row r="674">
      <c r="A674" s="114"/>
      <c r="C674" s="29"/>
      <c r="D674" s="114"/>
      <c r="I674" s="129"/>
    </row>
    <row r="675">
      <c r="A675" s="114"/>
      <c r="C675" s="29"/>
      <c r="D675" s="114"/>
      <c r="I675" s="129"/>
    </row>
    <row r="676">
      <c r="A676" s="114"/>
      <c r="C676" s="29"/>
      <c r="D676" s="114"/>
      <c r="I676" s="129"/>
    </row>
    <row r="677">
      <c r="A677" s="114"/>
      <c r="C677" s="29"/>
      <c r="D677" s="114"/>
      <c r="I677" s="129"/>
    </row>
    <row r="678">
      <c r="A678" s="114"/>
      <c r="C678" s="29"/>
      <c r="D678" s="114"/>
      <c r="I678" s="129"/>
    </row>
    <row r="679">
      <c r="A679" s="114"/>
      <c r="C679" s="29"/>
      <c r="D679" s="114"/>
      <c r="I679" s="129"/>
    </row>
    <row r="680">
      <c r="A680" s="114"/>
      <c r="C680" s="29"/>
      <c r="D680" s="114"/>
      <c r="I680" s="129"/>
    </row>
    <row r="681">
      <c r="A681" s="114"/>
      <c r="C681" s="29"/>
      <c r="D681" s="114"/>
      <c r="I681" s="129"/>
    </row>
    <row r="682">
      <c r="A682" s="114"/>
      <c r="C682" s="29"/>
      <c r="D682" s="114"/>
      <c r="I682" s="129"/>
    </row>
    <row r="683">
      <c r="A683" s="114"/>
      <c r="C683" s="29"/>
      <c r="D683" s="114"/>
      <c r="I683" s="129"/>
    </row>
    <row r="684">
      <c r="A684" s="114"/>
      <c r="C684" s="29"/>
      <c r="D684" s="114"/>
      <c r="I684" s="129"/>
    </row>
    <row r="685">
      <c r="A685" s="114"/>
      <c r="C685" s="29"/>
      <c r="D685" s="114"/>
      <c r="I685" s="129"/>
    </row>
    <row r="686">
      <c r="A686" s="114"/>
      <c r="C686" s="29"/>
      <c r="D686" s="114"/>
      <c r="I686" s="129"/>
    </row>
    <row r="687">
      <c r="A687" s="114"/>
      <c r="C687" s="29"/>
      <c r="D687" s="114"/>
      <c r="I687" s="129"/>
    </row>
    <row r="688">
      <c r="A688" s="114"/>
      <c r="C688" s="29"/>
      <c r="D688" s="114"/>
      <c r="I688" s="129"/>
    </row>
    <row r="689">
      <c r="A689" s="114"/>
      <c r="C689" s="29"/>
      <c r="D689" s="114"/>
      <c r="I689" s="129"/>
    </row>
    <row r="690">
      <c r="A690" s="114"/>
      <c r="C690" s="29"/>
      <c r="D690" s="114"/>
      <c r="I690" s="129"/>
    </row>
    <row r="691">
      <c r="A691" s="114"/>
      <c r="C691" s="29"/>
      <c r="D691" s="114"/>
      <c r="I691" s="129"/>
    </row>
    <row r="692">
      <c r="A692" s="114"/>
      <c r="C692" s="29"/>
      <c r="D692" s="114"/>
      <c r="I692" s="129"/>
    </row>
    <row r="693">
      <c r="A693" s="114"/>
      <c r="C693" s="29"/>
      <c r="D693" s="114"/>
      <c r="I693" s="129"/>
    </row>
    <row r="694">
      <c r="A694" s="114"/>
      <c r="C694" s="29"/>
      <c r="D694" s="114"/>
      <c r="I694" s="129"/>
    </row>
    <row r="695">
      <c r="A695" s="114"/>
      <c r="C695" s="29"/>
      <c r="D695" s="114"/>
      <c r="I695" s="129"/>
    </row>
    <row r="696">
      <c r="A696" s="114"/>
      <c r="C696" s="29"/>
      <c r="D696" s="114"/>
      <c r="I696" s="129"/>
    </row>
    <row r="697">
      <c r="A697" s="114"/>
      <c r="C697" s="29"/>
      <c r="D697" s="114"/>
      <c r="I697" s="129"/>
    </row>
    <row r="698">
      <c r="A698" s="114"/>
      <c r="C698" s="29"/>
      <c r="D698" s="114"/>
      <c r="I698" s="129"/>
    </row>
    <row r="699">
      <c r="A699" s="114"/>
      <c r="C699" s="29"/>
      <c r="D699" s="114"/>
      <c r="I699" s="129"/>
    </row>
    <row r="700">
      <c r="A700" s="114"/>
      <c r="C700" s="29"/>
      <c r="D700" s="114"/>
      <c r="I700" s="129"/>
    </row>
    <row r="701">
      <c r="A701" s="114"/>
      <c r="C701" s="29"/>
      <c r="D701" s="114"/>
      <c r="I701" s="129"/>
    </row>
    <row r="702">
      <c r="A702" s="114"/>
      <c r="C702" s="29"/>
      <c r="D702" s="114"/>
      <c r="I702" s="129"/>
    </row>
    <row r="703">
      <c r="A703" s="114"/>
      <c r="C703" s="29"/>
      <c r="D703" s="114"/>
      <c r="I703" s="129"/>
    </row>
    <row r="704">
      <c r="A704" s="114"/>
      <c r="C704" s="29"/>
      <c r="D704" s="114"/>
      <c r="I704" s="129"/>
    </row>
    <row r="705">
      <c r="A705" s="114"/>
      <c r="C705" s="29"/>
      <c r="D705" s="114"/>
      <c r="I705" s="129"/>
    </row>
    <row r="706">
      <c r="A706" s="114"/>
      <c r="C706" s="29"/>
      <c r="D706" s="114"/>
      <c r="I706" s="129"/>
    </row>
    <row r="707">
      <c r="A707" s="114"/>
      <c r="C707" s="29"/>
      <c r="D707" s="114"/>
      <c r="I707" s="129"/>
    </row>
    <row r="708">
      <c r="A708" s="114"/>
      <c r="C708" s="29"/>
      <c r="D708" s="114"/>
      <c r="I708" s="129"/>
    </row>
    <row r="709">
      <c r="A709" s="114"/>
      <c r="C709" s="29"/>
      <c r="D709" s="114"/>
      <c r="I709" s="129"/>
    </row>
    <row r="710">
      <c r="A710" s="114"/>
      <c r="C710" s="29"/>
      <c r="D710" s="114"/>
      <c r="I710" s="129"/>
    </row>
    <row r="711">
      <c r="A711" s="114"/>
      <c r="C711" s="29"/>
      <c r="D711" s="114"/>
      <c r="I711" s="129"/>
    </row>
    <row r="712">
      <c r="A712" s="114"/>
      <c r="C712" s="29"/>
      <c r="D712" s="114"/>
      <c r="I712" s="129"/>
    </row>
    <row r="713">
      <c r="A713" s="114"/>
      <c r="C713" s="29"/>
      <c r="D713" s="114"/>
      <c r="I713" s="129"/>
    </row>
    <row r="714">
      <c r="A714" s="114"/>
      <c r="C714" s="29"/>
      <c r="D714" s="114"/>
      <c r="I714" s="129"/>
    </row>
    <row r="715">
      <c r="A715" s="114"/>
      <c r="C715" s="29"/>
      <c r="D715" s="114"/>
      <c r="I715" s="129"/>
    </row>
    <row r="716">
      <c r="A716" s="114"/>
      <c r="C716" s="29"/>
      <c r="D716" s="114"/>
      <c r="I716" s="129"/>
    </row>
    <row r="717">
      <c r="A717" s="114"/>
      <c r="C717" s="29"/>
      <c r="D717" s="114"/>
      <c r="I717" s="129"/>
    </row>
    <row r="718">
      <c r="A718" s="114"/>
      <c r="C718" s="29"/>
      <c r="D718" s="114"/>
      <c r="I718" s="129"/>
    </row>
    <row r="719">
      <c r="A719" s="114"/>
      <c r="C719" s="29"/>
      <c r="D719" s="114"/>
      <c r="I719" s="129"/>
    </row>
    <row r="720">
      <c r="A720" s="114"/>
      <c r="C720" s="29"/>
      <c r="D720" s="114"/>
      <c r="I720" s="129"/>
    </row>
    <row r="721">
      <c r="A721" s="114"/>
      <c r="C721" s="29"/>
      <c r="D721" s="114"/>
      <c r="I721" s="129"/>
    </row>
    <row r="722">
      <c r="A722" s="114"/>
      <c r="C722" s="29"/>
      <c r="D722" s="114"/>
      <c r="I722" s="129"/>
    </row>
    <row r="723">
      <c r="A723" s="114"/>
      <c r="C723" s="29"/>
      <c r="D723" s="114"/>
      <c r="I723" s="129"/>
    </row>
    <row r="724">
      <c r="A724" s="114"/>
      <c r="C724" s="29"/>
      <c r="D724" s="114"/>
      <c r="I724" s="129"/>
    </row>
    <row r="725">
      <c r="A725" s="114"/>
      <c r="C725" s="29"/>
      <c r="D725" s="114"/>
      <c r="I725" s="129"/>
    </row>
    <row r="726">
      <c r="A726" s="114"/>
      <c r="C726" s="29"/>
      <c r="D726" s="114"/>
      <c r="I726" s="129"/>
    </row>
    <row r="727">
      <c r="A727" s="114"/>
      <c r="C727" s="29"/>
      <c r="D727" s="114"/>
      <c r="I727" s="129"/>
    </row>
    <row r="728">
      <c r="A728" s="114"/>
      <c r="C728" s="29"/>
      <c r="D728" s="114"/>
      <c r="I728" s="129"/>
    </row>
    <row r="729">
      <c r="A729" s="114"/>
      <c r="C729" s="29"/>
      <c r="D729" s="114"/>
      <c r="I729" s="129"/>
    </row>
    <row r="730">
      <c r="A730" s="114"/>
      <c r="C730" s="29"/>
      <c r="D730" s="114"/>
      <c r="I730" s="129"/>
    </row>
    <row r="731">
      <c r="A731" s="114"/>
      <c r="C731" s="29"/>
      <c r="D731" s="114"/>
      <c r="I731" s="129"/>
    </row>
    <row r="732">
      <c r="A732" s="114"/>
      <c r="C732" s="29"/>
      <c r="D732" s="114"/>
      <c r="I732" s="129"/>
    </row>
    <row r="733">
      <c r="A733" s="114"/>
      <c r="C733" s="29"/>
      <c r="D733" s="114"/>
      <c r="I733" s="129"/>
    </row>
    <row r="734">
      <c r="A734" s="114"/>
      <c r="C734" s="29"/>
      <c r="D734" s="114"/>
      <c r="I734" s="129"/>
    </row>
    <row r="735">
      <c r="A735" s="114"/>
      <c r="C735" s="29"/>
      <c r="D735" s="114"/>
      <c r="I735" s="129"/>
    </row>
    <row r="736">
      <c r="A736" s="114"/>
      <c r="C736" s="29"/>
      <c r="D736" s="114"/>
      <c r="I736" s="129"/>
    </row>
    <row r="737">
      <c r="A737" s="114"/>
      <c r="C737" s="29"/>
      <c r="D737" s="114"/>
      <c r="I737" s="129"/>
    </row>
    <row r="738">
      <c r="A738" s="114"/>
      <c r="C738" s="29"/>
      <c r="D738" s="114"/>
      <c r="I738" s="129"/>
    </row>
    <row r="739">
      <c r="A739" s="114"/>
      <c r="C739" s="29"/>
      <c r="D739" s="114"/>
      <c r="I739" s="129"/>
    </row>
    <row r="740">
      <c r="A740" s="114"/>
      <c r="C740" s="29"/>
      <c r="D740" s="114"/>
      <c r="I740" s="129"/>
    </row>
    <row r="741">
      <c r="A741" s="114"/>
      <c r="C741" s="29"/>
      <c r="D741" s="114"/>
      <c r="I741" s="129"/>
    </row>
    <row r="742">
      <c r="A742" s="114"/>
      <c r="C742" s="29"/>
      <c r="D742" s="114"/>
      <c r="I742" s="129"/>
    </row>
    <row r="743">
      <c r="A743" s="114"/>
      <c r="C743" s="29"/>
      <c r="D743" s="114"/>
      <c r="I743" s="129"/>
    </row>
    <row r="744">
      <c r="A744" s="114"/>
      <c r="C744" s="29"/>
      <c r="D744" s="114"/>
      <c r="I744" s="129"/>
    </row>
    <row r="745">
      <c r="A745" s="114"/>
      <c r="C745" s="29"/>
      <c r="D745" s="114"/>
      <c r="I745" s="129"/>
    </row>
    <row r="746">
      <c r="A746" s="114"/>
      <c r="C746" s="29"/>
      <c r="D746" s="114"/>
      <c r="I746" s="129"/>
    </row>
    <row r="747">
      <c r="A747" s="114"/>
      <c r="C747" s="29"/>
      <c r="D747" s="114"/>
      <c r="I747" s="129"/>
    </row>
    <row r="748">
      <c r="A748" s="114"/>
      <c r="C748" s="29"/>
      <c r="D748" s="114"/>
      <c r="I748" s="129"/>
    </row>
    <row r="749">
      <c r="A749" s="114"/>
      <c r="C749" s="29"/>
      <c r="D749" s="114"/>
      <c r="I749" s="129"/>
    </row>
    <row r="750">
      <c r="A750" s="114"/>
      <c r="C750" s="29"/>
      <c r="D750" s="114"/>
      <c r="I750" s="129"/>
    </row>
    <row r="751">
      <c r="A751" s="114"/>
      <c r="C751" s="29"/>
      <c r="D751" s="114"/>
      <c r="I751" s="129"/>
    </row>
    <row r="752">
      <c r="A752" s="114"/>
      <c r="C752" s="29"/>
      <c r="D752" s="114"/>
      <c r="I752" s="129"/>
    </row>
    <row r="753">
      <c r="A753" s="114"/>
      <c r="C753" s="29"/>
      <c r="D753" s="114"/>
      <c r="I753" s="129"/>
    </row>
    <row r="754">
      <c r="A754" s="114"/>
      <c r="C754" s="29"/>
      <c r="D754" s="114"/>
      <c r="I754" s="129"/>
    </row>
    <row r="755">
      <c r="A755" s="114"/>
      <c r="C755" s="29"/>
      <c r="D755" s="114"/>
      <c r="I755" s="129"/>
    </row>
    <row r="756">
      <c r="A756" s="114"/>
      <c r="C756" s="29"/>
      <c r="D756" s="114"/>
      <c r="I756" s="129"/>
    </row>
    <row r="757">
      <c r="A757" s="114"/>
      <c r="C757" s="29"/>
      <c r="D757" s="114"/>
      <c r="I757" s="129"/>
    </row>
    <row r="758">
      <c r="A758" s="114"/>
      <c r="C758" s="29"/>
      <c r="D758" s="114"/>
      <c r="I758" s="129"/>
    </row>
    <row r="759">
      <c r="A759" s="114"/>
      <c r="C759" s="29"/>
      <c r="D759" s="114"/>
      <c r="I759" s="129"/>
    </row>
    <row r="760">
      <c r="A760" s="114"/>
      <c r="C760" s="29"/>
      <c r="D760" s="114"/>
      <c r="I760" s="129"/>
    </row>
    <row r="761">
      <c r="A761" s="114"/>
      <c r="C761" s="29"/>
      <c r="D761" s="114"/>
      <c r="I761" s="129"/>
    </row>
    <row r="762">
      <c r="A762" s="114"/>
      <c r="C762" s="29"/>
      <c r="D762" s="114"/>
      <c r="I762" s="129"/>
    </row>
    <row r="763">
      <c r="A763" s="114"/>
      <c r="C763" s="29"/>
      <c r="D763" s="114"/>
      <c r="I763" s="129"/>
    </row>
    <row r="764">
      <c r="A764" s="114"/>
      <c r="C764" s="29"/>
      <c r="D764" s="114"/>
      <c r="I764" s="129"/>
    </row>
    <row r="765">
      <c r="A765" s="114"/>
      <c r="C765" s="29"/>
      <c r="D765" s="114"/>
      <c r="I765" s="129"/>
    </row>
    <row r="766">
      <c r="A766" s="114"/>
      <c r="C766" s="29"/>
      <c r="D766" s="114"/>
      <c r="I766" s="129"/>
    </row>
    <row r="767">
      <c r="A767" s="114"/>
      <c r="C767" s="29"/>
      <c r="D767" s="114"/>
      <c r="I767" s="129"/>
    </row>
    <row r="768">
      <c r="A768" s="114"/>
      <c r="C768" s="29"/>
      <c r="D768" s="114"/>
      <c r="I768" s="129"/>
    </row>
    <row r="769">
      <c r="A769" s="114"/>
      <c r="C769" s="29"/>
      <c r="D769" s="114"/>
      <c r="I769" s="129"/>
    </row>
    <row r="770">
      <c r="A770" s="114"/>
      <c r="C770" s="29"/>
      <c r="D770" s="114"/>
      <c r="I770" s="129"/>
    </row>
    <row r="771">
      <c r="A771" s="114"/>
      <c r="C771" s="29"/>
      <c r="D771" s="114"/>
      <c r="I771" s="129"/>
    </row>
    <row r="772">
      <c r="A772" s="114"/>
      <c r="C772" s="29"/>
      <c r="D772" s="114"/>
      <c r="I772" s="129"/>
    </row>
    <row r="773">
      <c r="A773" s="114"/>
      <c r="C773" s="29"/>
      <c r="D773" s="114"/>
      <c r="I773" s="129"/>
    </row>
    <row r="774">
      <c r="A774" s="114"/>
      <c r="C774" s="29"/>
      <c r="D774" s="114"/>
      <c r="I774" s="129"/>
    </row>
    <row r="775">
      <c r="A775" s="114"/>
      <c r="C775" s="29"/>
      <c r="D775" s="114"/>
      <c r="I775" s="129"/>
    </row>
    <row r="776">
      <c r="A776" s="114"/>
      <c r="C776" s="29"/>
      <c r="D776" s="114"/>
      <c r="I776" s="129"/>
    </row>
    <row r="777">
      <c r="A777" s="114"/>
      <c r="C777" s="29"/>
      <c r="D777" s="114"/>
      <c r="I777" s="129"/>
    </row>
    <row r="778">
      <c r="A778" s="114"/>
      <c r="C778" s="29"/>
      <c r="D778" s="114"/>
      <c r="I778" s="129"/>
    </row>
    <row r="779">
      <c r="A779" s="114"/>
      <c r="C779" s="29"/>
      <c r="D779" s="114"/>
      <c r="I779" s="129"/>
    </row>
    <row r="780">
      <c r="A780" s="114"/>
      <c r="C780" s="29"/>
      <c r="D780" s="114"/>
      <c r="I780" s="129"/>
    </row>
    <row r="781">
      <c r="A781" s="114"/>
      <c r="C781" s="29"/>
      <c r="D781" s="114"/>
      <c r="I781" s="129"/>
    </row>
    <row r="782">
      <c r="A782" s="114"/>
      <c r="C782" s="29"/>
      <c r="D782" s="114"/>
      <c r="I782" s="129"/>
    </row>
    <row r="783">
      <c r="A783" s="114"/>
      <c r="C783" s="29"/>
      <c r="D783" s="114"/>
      <c r="I783" s="129"/>
    </row>
    <row r="784">
      <c r="A784" s="114"/>
      <c r="C784" s="29"/>
      <c r="D784" s="114"/>
      <c r="I784" s="129"/>
    </row>
    <row r="785">
      <c r="A785" s="114"/>
      <c r="C785" s="29"/>
      <c r="D785" s="114"/>
      <c r="I785" s="129"/>
    </row>
    <row r="786">
      <c r="A786" s="114"/>
      <c r="C786" s="29"/>
      <c r="D786" s="114"/>
      <c r="I786" s="129"/>
    </row>
    <row r="787">
      <c r="A787" s="114"/>
      <c r="C787" s="29"/>
      <c r="D787" s="114"/>
      <c r="I787" s="129"/>
    </row>
    <row r="788">
      <c r="A788" s="114"/>
      <c r="C788" s="29"/>
      <c r="D788" s="114"/>
      <c r="I788" s="129"/>
    </row>
    <row r="789">
      <c r="A789" s="114"/>
      <c r="C789" s="29"/>
      <c r="D789" s="114"/>
      <c r="I789" s="129"/>
    </row>
    <row r="790">
      <c r="A790" s="114"/>
      <c r="C790" s="29"/>
      <c r="D790" s="114"/>
      <c r="I790" s="129"/>
    </row>
    <row r="791">
      <c r="A791" s="114"/>
      <c r="C791" s="29"/>
      <c r="D791" s="114"/>
      <c r="I791" s="129"/>
    </row>
    <row r="792">
      <c r="A792" s="114"/>
      <c r="C792" s="29"/>
      <c r="D792" s="114"/>
      <c r="I792" s="129"/>
    </row>
    <row r="793">
      <c r="A793" s="114"/>
      <c r="C793" s="29"/>
      <c r="D793" s="114"/>
      <c r="I793" s="129"/>
    </row>
    <row r="794">
      <c r="A794" s="114"/>
      <c r="C794" s="29"/>
      <c r="D794" s="114"/>
      <c r="I794" s="129"/>
    </row>
    <row r="795">
      <c r="A795" s="114"/>
      <c r="C795" s="29"/>
      <c r="D795" s="114"/>
      <c r="I795" s="129"/>
    </row>
    <row r="796">
      <c r="A796" s="114"/>
      <c r="C796" s="29"/>
      <c r="D796" s="114"/>
      <c r="I796" s="129"/>
    </row>
    <row r="797">
      <c r="A797" s="114"/>
      <c r="C797" s="29"/>
      <c r="D797" s="114"/>
      <c r="I797" s="129"/>
    </row>
    <row r="798">
      <c r="A798" s="114"/>
      <c r="C798" s="29"/>
      <c r="D798" s="114"/>
      <c r="I798" s="129"/>
    </row>
    <row r="799">
      <c r="A799" s="114"/>
      <c r="C799" s="29"/>
      <c r="D799" s="114"/>
      <c r="I799" s="129"/>
    </row>
    <row r="800">
      <c r="A800" s="114"/>
      <c r="C800" s="29"/>
      <c r="D800" s="114"/>
      <c r="I800" s="129"/>
    </row>
    <row r="801">
      <c r="A801" s="114"/>
      <c r="C801" s="29"/>
      <c r="D801" s="114"/>
      <c r="I801" s="129"/>
    </row>
    <row r="802">
      <c r="A802" s="114"/>
      <c r="C802" s="29"/>
      <c r="D802" s="114"/>
      <c r="I802" s="129"/>
    </row>
    <row r="803">
      <c r="A803" s="114"/>
      <c r="C803" s="29"/>
      <c r="D803" s="114"/>
      <c r="I803" s="129"/>
    </row>
    <row r="804">
      <c r="A804" s="114"/>
      <c r="C804" s="29"/>
      <c r="D804" s="114"/>
      <c r="I804" s="129"/>
    </row>
    <row r="805">
      <c r="A805" s="114"/>
      <c r="C805" s="29"/>
      <c r="D805" s="114"/>
      <c r="I805" s="129"/>
    </row>
    <row r="806">
      <c r="A806" s="114"/>
      <c r="C806" s="29"/>
      <c r="D806" s="114"/>
      <c r="I806" s="129"/>
    </row>
    <row r="807">
      <c r="A807" s="114"/>
      <c r="C807" s="29"/>
      <c r="D807" s="114"/>
      <c r="I807" s="129"/>
    </row>
    <row r="808">
      <c r="A808" s="114"/>
      <c r="C808" s="29"/>
      <c r="D808" s="114"/>
      <c r="I808" s="129"/>
    </row>
    <row r="809">
      <c r="A809" s="114"/>
      <c r="C809" s="29"/>
      <c r="D809" s="114"/>
      <c r="I809" s="129"/>
    </row>
    <row r="810">
      <c r="A810" s="114"/>
      <c r="C810" s="29"/>
      <c r="D810" s="114"/>
      <c r="I810" s="129"/>
    </row>
    <row r="811">
      <c r="A811" s="114"/>
      <c r="C811" s="29"/>
      <c r="D811" s="114"/>
      <c r="I811" s="129"/>
    </row>
    <row r="812">
      <c r="A812" s="114"/>
      <c r="C812" s="29"/>
      <c r="D812" s="114"/>
      <c r="I812" s="129"/>
    </row>
    <row r="813">
      <c r="A813" s="114"/>
      <c r="C813" s="29"/>
      <c r="D813" s="114"/>
      <c r="I813" s="129"/>
    </row>
    <row r="814">
      <c r="A814" s="114"/>
      <c r="C814" s="29"/>
      <c r="D814" s="114"/>
      <c r="I814" s="129"/>
    </row>
    <row r="815">
      <c r="A815" s="114"/>
      <c r="C815" s="29"/>
      <c r="D815" s="114"/>
      <c r="I815" s="129"/>
    </row>
    <row r="816">
      <c r="A816" s="114"/>
      <c r="C816" s="29"/>
      <c r="D816" s="114"/>
      <c r="I816" s="129"/>
    </row>
    <row r="817">
      <c r="A817" s="114"/>
      <c r="C817" s="29"/>
      <c r="D817" s="114"/>
      <c r="I817" s="129"/>
    </row>
    <row r="818">
      <c r="A818" s="114"/>
      <c r="C818" s="29"/>
      <c r="D818" s="114"/>
      <c r="I818" s="129"/>
    </row>
    <row r="819">
      <c r="A819" s="114"/>
      <c r="C819" s="29"/>
      <c r="D819" s="114"/>
      <c r="I819" s="129"/>
    </row>
    <row r="820">
      <c r="A820" s="114"/>
      <c r="C820" s="29"/>
      <c r="D820" s="114"/>
      <c r="I820" s="129"/>
    </row>
    <row r="821">
      <c r="A821" s="114"/>
      <c r="C821" s="29"/>
      <c r="D821" s="114"/>
      <c r="I821" s="129"/>
    </row>
    <row r="822">
      <c r="A822" s="114"/>
      <c r="C822" s="29"/>
      <c r="D822" s="114"/>
      <c r="I822" s="129"/>
    </row>
    <row r="823">
      <c r="A823" s="114"/>
      <c r="C823" s="29"/>
      <c r="D823" s="114"/>
      <c r="I823" s="129"/>
    </row>
    <row r="824">
      <c r="A824" s="114"/>
      <c r="C824" s="29"/>
      <c r="D824" s="114"/>
      <c r="I824" s="129"/>
    </row>
    <row r="825">
      <c r="A825" s="114"/>
      <c r="C825" s="29"/>
      <c r="D825" s="114"/>
      <c r="I825" s="129"/>
    </row>
    <row r="826">
      <c r="A826" s="114"/>
      <c r="C826" s="29"/>
      <c r="D826" s="114"/>
      <c r="I826" s="129"/>
    </row>
    <row r="827">
      <c r="A827" s="114"/>
      <c r="C827" s="29"/>
      <c r="D827" s="114"/>
      <c r="I827" s="129"/>
    </row>
    <row r="828">
      <c r="A828" s="114"/>
      <c r="C828" s="29"/>
      <c r="D828" s="114"/>
      <c r="I828" s="129"/>
    </row>
    <row r="829">
      <c r="A829" s="114"/>
      <c r="C829" s="29"/>
      <c r="D829" s="114"/>
      <c r="I829" s="129"/>
    </row>
    <row r="830">
      <c r="A830" s="114"/>
      <c r="C830" s="29"/>
      <c r="D830" s="114"/>
      <c r="I830" s="129"/>
    </row>
    <row r="831">
      <c r="A831" s="114"/>
      <c r="C831" s="29"/>
      <c r="D831" s="114"/>
      <c r="I831" s="129"/>
    </row>
    <row r="832">
      <c r="A832" s="114"/>
      <c r="C832" s="29"/>
      <c r="D832" s="114"/>
      <c r="I832" s="129"/>
    </row>
    <row r="833">
      <c r="A833" s="114"/>
      <c r="C833" s="29"/>
      <c r="D833" s="114"/>
      <c r="I833" s="129"/>
    </row>
    <row r="834">
      <c r="A834" s="114"/>
      <c r="C834" s="29"/>
      <c r="D834" s="114"/>
      <c r="I834" s="129"/>
    </row>
    <row r="835">
      <c r="A835" s="114"/>
      <c r="C835" s="29"/>
      <c r="D835" s="114"/>
      <c r="I835" s="129"/>
    </row>
    <row r="836">
      <c r="A836" s="114"/>
      <c r="C836" s="29"/>
      <c r="D836" s="114"/>
      <c r="I836" s="129"/>
    </row>
    <row r="837">
      <c r="A837" s="114"/>
      <c r="C837" s="29"/>
      <c r="D837" s="114"/>
      <c r="I837" s="129"/>
    </row>
    <row r="838">
      <c r="A838" s="114"/>
      <c r="C838" s="29"/>
      <c r="D838" s="114"/>
      <c r="I838" s="129"/>
    </row>
    <row r="839">
      <c r="A839" s="114"/>
      <c r="C839" s="29"/>
      <c r="D839" s="114"/>
      <c r="I839" s="129"/>
    </row>
    <row r="840">
      <c r="A840" s="114"/>
      <c r="C840" s="29"/>
      <c r="D840" s="114"/>
      <c r="I840" s="129"/>
    </row>
    <row r="841">
      <c r="A841" s="114"/>
      <c r="C841" s="29"/>
      <c r="D841" s="114"/>
      <c r="I841" s="129"/>
    </row>
    <row r="842">
      <c r="A842" s="114"/>
      <c r="C842" s="29"/>
      <c r="D842" s="114"/>
      <c r="I842" s="129"/>
    </row>
    <row r="843">
      <c r="A843" s="114"/>
      <c r="C843" s="29"/>
      <c r="D843" s="114"/>
      <c r="I843" s="129"/>
    </row>
    <row r="844">
      <c r="A844" s="114"/>
      <c r="C844" s="29"/>
      <c r="D844" s="114"/>
      <c r="I844" s="129"/>
    </row>
    <row r="845">
      <c r="A845" s="114"/>
      <c r="C845" s="29"/>
      <c r="D845" s="114"/>
      <c r="I845" s="129"/>
    </row>
    <row r="846">
      <c r="A846" s="114"/>
      <c r="C846" s="29"/>
      <c r="D846" s="114"/>
      <c r="I846" s="129"/>
    </row>
    <row r="847">
      <c r="A847" s="114"/>
      <c r="C847" s="29"/>
      <c r="D847" s="114"/>
      <c r="I847" s="129"/>
    </row>
    <row r="848">
      <c r="A848" s="114"/>
      <c r="C848" s="29"/>
      <c r="D848" s="114"/>
      <c r="I848" s="129"/>
    </row>
    <row r="849">
      <c r="A849" s="114"/>
      <c r="C849" s="29"/>
      <c r="D849" s="114"/>
      <c r="I849" s="129"/>
    </row>
    <row r="850">
      <c r="A850" s="114"/>
      <c r="C850" s="29"/>
      <c r="D850" s="114"/>
      <c r="I850" s="129"/>
    </row>
    <row r="851">
      <c r="A851" s="114"/>
      <c r="C851" s="29"/>
      <c r="D851" s="114"/>
      <c r="I851" s="129"/>
    </row>
    <row r="852">
      <c r="A852" s="114"/>
      <c r="C852" s="29"/>
      <c r="D852" s="114"/>
      <c r="I852" s="129"/>
    </row>
    <row r="853">
      <c r="A853" s="114"/>
      <c r="C853" s="29"/>
      <c r="D853" s="114"/>
      <c r="I853" s="129"/>
    </row>
    <row r="854">
      <c r="A854" s="114"/>
      <c r="C854" s="29"/>
      <c r="D854" s="114"/>
      <c r="I854" s="129"/>
    </row>
    <row r="855">
      <c r="A855" s="114"/>
      <c r="C855" s="29"/>
      <c r="D855" s="114"/>
      <c r="I855" s="129"/>
    </row>
    <row r="856">
      <c r="A856" s="114"/>
      <c r="C856" s="29"/>
      <c r="D856" s="114"/>
      <c r="I856" s="129"/>
    </row>
    <row r="857">
      <c r="A857" s="114"/>
      <c r="C857" s="29"/>
      <c r="D857" s="114"/>
      <c r="I857" s="129"/>
    </row>
    <row r="858">
      <c r="A858" s="114"/>
      <c r="C858" s="29"/>
      <c r="D858" s="114"/>
      <c r="I858" s="129"/>
    </row>
    <row r="859">
      <c r="A859" s="114"/>
      <c r="C859" s="29"/>
      <c r="D859" s="114"/>
      <c r="I859" s="129"/>
    </row>
    <row r="860">
      <c r="A860" s="114"/>
      <c r="C860" s="29"/>
      <c r="D860" s="114"/>
      <c r="I860" s="129"/>
    </row>
    <row r="861">
      <c r="A861" s="114"/>
      <c r="C861" s="29"/>
      <c r="D861" s="114"/>
      <c r="I861" s="129"/>
    </row>
    <row r="862">
      <c r="A862" s="114"/>
      <c r="C862" s="29"/>
      <c r="D862" s="114"/>
      <c r="I862" s="129"/>
    </row>
    <row r="863">
      <c r="A863" s="114"/>
      <c r="C863" s="29"/>
      <c r="D863" s="114"/>
      <c r="I863" s="129"/>
    </row>
    <row r="864">
      <c r="A864" s="114"/>
      <c r="C864" s="29"/>
      <c r="D864" s="114"/>
      <c r="I864" s="129"/>
    </row>
    <row r="865">
      <c r="A865" s="114"/>
      <c r="C865" s="29"/>
      <c r="D865" s="114"/>
      <c r="I865" s="129"/>
    </row>
    <row r="866">
      <c r="A866" s="114"/>
      <c r="C866" s="29"/>
      <c r="D866" s="114"/>
      <c r="I866" s="129"/>
    </row>
    <row r="867">
      <c r="A867" s="114"/>
      <c r="C867" s="29"/>
      <c r="D867" s="114"/>
      <c r="I867" s="129"/>
    </row>
    <row r="868">
      <c r="A868" s="114"/>
      <c r="C868" s="29"/>
      <c r="D868" s="114"/>
      <c r="I868" s="129"/>
    </row>
    <row r="869">
      <c r="A869" s="114"/>
      <c r="C869" s="29"/>
      <c r="D869" s="114"/>
      <c r="I869" s="129"/>
    </row>
    <row r="870">
      <c r="A870" s="114"/>
      <c r="C870" s="29"/>
      <c r="D870" s="114"/>
      <c r="I870" s="129"/>
    </row>
    <row r="871">
      <c r="A871" s="114"/>
      <c r="C871" s="29"/>
      <c r="D871" s="114"/>
      <c r="I871" s="129"/>
    </row>
    <row r="872">
      <c r="A872" s="114"/>
      <c r="C872" s="29"/>
      <c r="D872" s="114"/>
      <c r="I872" s="129"/>
    </row>
    <row r="873">
      <c r="A873" s="114"/>
      <c r="C873" s="29"/>
      <c r="D873" s="114"/>
      <c r="I873" s="129"/>
    </row>
    <row r="874">
      <c r="A874" s="114"/>
      <c r="C874" s="29"/>
      <c r="D874" s="114"/>
      <c r="I874" s="129"/>
    </row>
    <row r="875">
      <c r="A875" s="114"/>
      <c r="C875" s="29"/>
      <c r="D875" s="114"/>
      <c r="I875" s="129"/>
    </row>
    <row r="876">
      <c r="A876" s="114"/>
      <c r="C876" s="29"/>
      <c r="D876" s="114"/>
      <c r="I876" s="129"/>
    </row>
    <row r="877">
      <c r="A877" s="114"/>
      <c r="C877" s="29"/>
      <c r="D877" s="114"/>
      <c r="I877" s="129"/>
    </row>
    <row r="878">
      <c r="A878" s="114"/>
      <c r="C878" s="29"/>
      <c r="D878" s="114"/>
      <c r="I878" s="129"/>
    </row>
    <row r="879">
      <c r="A879" s="114"/>
      <c r="C879" s="29"/>
      <c r="D879" s="114"/>
      <c r="I879" s="129"/>
    </row>
    <row r="880">
      <c r="A880" s="114"/>
      <c r="C880" s="29"/>
      <c r="D880" s="114"/>
      <c r="I880" s="129"/>
    </row>
    <row r="881">
      <c r="A881" s="114"/>
      <c r="C881" s="29"/>
      <c r="D881" s="114"/>
      <c r="I881" s="129"/>
    </row>
    <row r="882">
      <c r="A882" s="114"/>
      <c r="C882" s="29"/>
      <c r="D882" s="114"/>
      <c r="I882" s="129"/>
    </row>
    <row r="883">
      <c r="A883" s="114"/>
      <c r="C883" s="29"/>
      <c r="D883" s="114"/>
      <c r="I883" s="129"/>
    </row>
    <row r="884">
      <c r="A884" s="114"/>
      <c r="C884" s="29"/>
      <c r="D884" s="114"/>
      <c r="I884" s="129"/>
    </row>
    <row r="885">
      <c r="A885" s="114"/>
      <c r="C885" s="29"/>
      <c r="D885" s="114"/>
      <c r="I885" s="129"/>
    </row>
    <row r="886">
      <c r="A886" s="114"/>
      <c r="C886" s="29"/>
      <c r="D886" s="114"/>
      <c r="I886" s="129"/>
    </row>
    <row r="887">
      <c r="A887" s="114"/>
      <c r="C887" s="29"/>
      <c r="D887" s="114"/>
      <c r="I887" s="129"/>
    </row>
    <row r="888">
      <c r="A888" s="114"/>
      <c r="C888" s="29"/>
      <c r="D888" s="114"/>
      <c r="I888" s="129"/>
    </row>
    <row r="889">
      <c r="A889" s="114"/>
      <c r="C889" s="29"/>
      <c r="D889" s="114"/>
      <c r="I889" s="129"/>
    </row>
    <row r="890">
      <c r="A890" s="114"/>
      <c r="C890" s="29"/>
      <c r="D890" s="114"/>
      <c r="I890" s="129"/>
    </row>
    <row r="891">
      <c r="A891" s="114"/>
      <c r="C891" s="29"/>
      <c r="D891" s="114"/>
      <c r="I891" s="129"/>
    </row>
    <row r="892">
      <c r="A892" s="114"/>
      <c r="C892" s="29"/>
      <c r="D892" s="114"/>
      <c r="I892" s="129"/>
    </row>
    <row r="893">
      <c r="A893" s="114"/>
      <c r="C893" s="29"/>
      <c r="D893" s="114"/>
      <c r="I893" s="129"/>
    </row>
    <row r="894">
      <c r="A894" s="114"/>
      <c r="C894" s="29"/>
      <c r="D894" s="114"/>
      <c r="I894" s="129"/>
    </row>
    <row r="895">
      <c r="A895" s="114"/>
      <c r="C895" s="29"/>
      <c r="D895" s="114"/>
      <c r="I895" s="129"/>
    </row>
    <row r="896">
      <c r="A896" s="114"/>
      <c r="C896" s="29"/>
      <c r="D896" s="114"/>
      <c r="I896" s="129"/>
    </row>
    <row r="897">
      <c r="A897" s="114"/>
      <c r="C897" s="29"/>
      <c r="D897" s="114"/>
      <c r="I897" s="129"/>
    </row>
    <row r="898">
      <c r="A898" s="114"/>
      <c r="C898" s="29"/>
      <c r="D898" s="114"/>
      <c r="I898" s="129"/>
    </row>
    <row r="899">
      <c r="A899" s="114"/>
      <c r="C899" s="29"/>
      <c r="D899" s="114"/>
      <c r="I899" s="129"/>
    </row>
    <row r="900">
      <c r="A900" s="114"/>
      <c r="C900" s="29"/>
      <c r="D900" s="114"/>
      <c r="I900" s="129"/>
    </row>
    <row r="901">
      <c r="A901" s="114"/>
      <c r="C901" s="29"/>
      <c r="D901" s="114"/>
      <c r="I901" s="129"/>
    </row>
    <row r="902">
      <c r="A902" s="114"/>
      <c r="C902" s="29"/>
      <c r="D902" s="114"/>
      <c r="I902" s="129"/>
    </row>
    <row r="903">
      <c r="A903" s="114"/>
      <c r="C903" s="29"/>
      <c r="D903" s="114"/>
      <c r="I903" s="129"/>
    </row>
    <row r="904">
      <c r="A904" s="114"/>
      <c r="C904" s="29"/>
      <c r="D904" s="114"/>
      <c r="I904" s="129"/>
    </row>
    <row r="905">
      <c r="A905" s="114"/>
      <c r="C905" s="29"/>
      <c r="D905" s="114"/>
      <c r="I905" s="129"/>
    </row>
    <row r="906">
      <c r="A906" s="114"/>
      <c r="C906" s="29"/>
      <c r="D906" s="114"/>
      <c r="I906" s="129"/>
    </row>
    <row r="907">
      <c r="A907" s="114"/>
      <c r="C907" s="29"/>
      <c r="D907" s="114"/>
      <c r="I907" s="129"/>
    </row>
    <row r="908">
      <c r="A908" s="114"/>
      <c r="C908" s="29"/>
      <c r="D908" s="114"/>
      <c r="I908" s="129"/>
    </row>
    <row r="909">
      <c r="A909" s="114"/>
      <c r="C909" s="29"/>
      <c r="D909" s="114"/>
      <c r="I909" s="129"/>
    </row>
    <row r="910">
      <c r="A910" s="114"/>
      <c r="C910" s="29"/>
      <c r="D910" s="114"/>
      <c r="I910" s="129"/>
    </row>
    <row r="911">
      <c r="A911" s="114"/>
      <c r="C911" s="29"/>
      <c r="D911" s="114"/>
      <c r="I911" s="129"/>
    </row>
    <row r="912">
      <c r="A912" s="114"/>
      <c r="C912" s="29"/>
      <c r="D912" s="114"/>
      <c r="I912" s="129"/>
    </row>
    <row r="913">
      <c r="A913" s="114"/>
      <c r="C913" s="29"/>
      <c r="D913" s="114"/>
      <c r="I913" s="129"/>
    </row>
    <row r="914">
      <c r="A914" s="114"/>
      <c r="C914" s="29"/>
      <c r="D914" s="114"/>
      <c r="I914" s="129"/>
    </row>
    <row r="915">
      <c r="A915" s="114"/>
      <c r="C915" s="29"/>
      <c r="D915" s="114"/>
      <c r="I915" s="129"/>
    </row>
    <row r="916">
      <c r="A916" s="114"/>
      <c r="C916" s="29"/>
      <c r="D916" s="114"/>
      <c r="I916" s="129"/>
    </row>
    <row r="917">
      <c r="A917" s="114"/>
      <c r="C917" s="29"/>
      <c r="D917" s="114"/>
      <c r="I917" s="129"/>
    </row>
    <row r="918">
      <c r="A918" s="114"/>
      <c r="C918" s="29"/>
      <c r="D918" s="114"/>
      <c r="I918" s="129"/>
    </row>
    <row r="919">
      <c r="A919" s="114"/>
      <c r="C919" s="29"/>
      <c r="D919" s="114"/>
      <c r="I919" s="129"/>
    </row>
    <row r="920">
      <c r="A920" s="114"/>
      <c r="C920" s="29"/>
      <c r="D920" s="114"/>
      <c r="I920" s="129"/>
    </row>
    <row r="921">
      <c r="A921" s="114"/>
      <c r="C921" s="29"/>
      <c r="D921" s="114"/>
      <c r="I921" s="129"/>
    </row>
    <row r="922">
      <c r="A922" s="114"/>
      <c r="C922" s="29"/>
      <c r="D922" s="114"/>
      <c r="I922" s="129"/>
    </row>
    <row r="923">
      <c r="A923" s="114"/>
      <c r="C923" s="29"/>
      <c r="D923" s="114"/>
      <c r="I923" s="129"/>
    </row>
    <row r="924">
      <c r="A924" s="114"/>
      <c r="C924" s="29"/>
      <c r="D924" s="114"/>
      <c r="I924" s="129"/>
    </row>
    <row r="925">
      <c r="A925" s="114"/>
      <c r="C925" s="29"/>
      <c r="D925" s="114"/>
      <c r="I925" s="129"/>
    </row>
    <row r="926">
      <c r="A926" s="114"/>
      <c r="C926" s="29"/>
      <c r="D926" s="114"/>
      <c r="I926" s="129"/>
    </row>
    <row r="927">
      <c r="A927" s="114"/>
      <c r="C927" s="29"/>
      <c r="D927" s="114"/>
      <c r="I927" s="129"/>
    </row>
    <row r="928">
      <c r="A928" s="114"/>
      <c r="C928" s="29"/>
      <c r="D928" s="114"/>
      <c r="I928" s="129"/>
    </row>
    <row r="929">
      <c r="A929" s="114"/>
      <c r="C929" s="29"/>
      <c r="D929" s="114"/>
      <c r="I929" s="129"/>
    </row>
    <row r="930">
      <c r="A930" s="114"/>
      <c r="C930" s="29"/>
      <c r="D930" s="114"/>
      <c r="I930" s="129"/>
    </row>
    <row r="931">
      <c r="A931" s="114"/>
      <c r="C931" s="29"/>
      <c r="D931" s="114"/>
      <c r="I931" s="129"/>
    </row>
    <row r="932">
      <c r="A932" s="114"/>
      <c r="C932" s="29"/>
      <c r="D932" s="114"/>
      <c r="I932" s="129"/>
    </row>
    <row r="933">
      <c r="A933" s="114"/>
      <c r="C933" s="29"/>
      <c r="D933" s="114"/>
      <c r="I933" s="129"/>
    </row>
    <row r="934">
      <c r="A934" s="114"/>
      <c r="C934" s="29"/>
      <c r="D934" s="114"/>
      <c r="I934" s="129"/>
    </row>
    <row r="935">
      <c r="A935" s="114"/>
      <c r="C935" s="29"/>
      <c r="D935" s="114"/>
      <c r="I935" s="129"/>
    </row>
    <row r="936">
      <c r="A936" s="114"/>
      <c r="C936" s="29"/>
      <c r="D936" s="114"/>
      <c r="I936" s="129"/>
    </row>
    <row r="937">
      <c r="A937" s="114"/>
      <c r="C937" s="29"/>
      <c r="D937" s="114"/>
      <c r="I937" s="129"/>
    </row>
    <row r="938">
      <c r="A938" s="114"/>
      <c r="C938" s="29"/>
      <c r="D938" s="114"/>
      <c r="I938" s="129"/>
    </row>
    <row r="939">
      <c r="A939" s="114"/>
      <c r="C939" s="29"/>
      <c r="D939" s="114"/>
      <c r="I939" s="129"/>
    </row>
    <row r="940">
      <c r="A940" s="114"/>
      <c r="C940" s="29"/>
      <c r="D940" s="114"/>
      <c r="I940" s="129"/>
    </row>
    <row r="941">
      <c r="A941" s="114"/>
      <c r="C941" s="29"/>
      <c r="D941" s="114"/>
      <c r="I941" s="129"/>
    </row>
    <row r="942">
      <c r="A942" s="114"/>
      <c r="C942" s="29"/>
      <c r="D942" s="114"/>
      <c r="I942" s="129"/>
    </row>
    <row r="943">
      <c r="A943" s="114"/>
      <c r="C943" s="29"/>
      <c r="D943" s="114"/>
      <c r="I943" s="129"/>
    </row>
    <row r="944">
      <c r="A944" s="114"/>
      <c r="C944" s="29"/>
      <c r="D944" s="114"/>
      <c r="I944" s="129"/>
    </row>
    <row r="945">
      <c r="A945" s="114"/>
      <c r="C945" s="29"/>
      <c r="D945" s="114"/>
      <c r="I945" s="129"/>
    </row>
    <row r="946">
      <c r="A946" s="114"/>
      <c r="C946" s="29"/>
      <c r="D946" s="114"/>
      <c r="I946" s="129"/>
    </row>
    <row r="947">
      <c r="A947" s="114"/>
      <c r="C947" s="29"/>
      <c r="D947" s="114"/>
      <c r="I947" s="129"/>
    </row>
    <row r="948">
      <c r="A948" s="114"/>
      <c r="C948" s="29"/>
      <c r="D948" s="114"/>
      <c r="I948" s="129"/>
    </row>
    <row r="949">
      <c r="A949" s="114"/>
      <c r="C949" s="29"/>
      <c r="D949" s="114"/>
      <c r="I949" s="129"/>
    </row>
    <row r="950">
      <c r="A950" s="114"/>
      <c r="C950" s="29"/>
      <c r="D950" s="114"/>
      <c r="I950" s="129"/>
    </row>
    <row r="951">
      <c r="A951" s="114"/>
      <c r="C951" s="29"/>
      <c r="D951" s="114"/>
      <c r="I951" s="129"/>
    </row>
    <row r="952">
      <c r="A952" s="114"/>
      <c r="C952" s="29"/>
      <c r="D952" s="114"/>
      <c r="I952" s="129"/>
    </row>
    <row r="953">
      <c r="A953" s="114"/>
      <c r="C953" s="29"/>
      <c r="D953" s="114"/>
      <c r="I953" s="129"/>
    </row>
    <row r="954">
      <c r="A954" s="114"/>
      <c r="C954" s="29"/>
      <c r="D954" s="114"/>
      <c r="I954" s="129"/>
    </row>
    <row r="955">
      <c r="A955" s="114"/>
      <c r="C955" s="29"/>
      <c r="D955" s="114"/>
      <c r="I955" s="129"/>
    </row>
    <row r="956">
      <c r="A956" s="114"/>
      <c r="C956" s="29"/>
      <c r="D956" s="114"/>
      <c r="I956" s="129"/>
    </row>
    <row r="957">
      <c r="A957" s="114"/>
      <c r="C957" s="29"/>
      <c r="D957" s="114"/>
      <c r="I957" s="129"/>
    </row>
    <row r="958">
      <c r="A958" s="114"/>
      <c r="C958" s="29"/>
      <c r="D958" s="114"/>
      <c r="I958" s="129"/>
    </row>
    <row r="959">
      <c r="A959" s="114"/>
      <c r="C959" s="29"/>
      <c r="D959" s="114"/>
      <c r="I959" s="129"/>
    </row>
    <row r="960">
      <c r="A960" s="114"/>
      <c r="C960" s="29"/>
      <c r="D960" s="114"/>
      <c r="I960" s="129"/>
    </row>
    <row r="961">
      <c r="A961" s="114"/>
      <c r="C961" s="29"/>
      <c r="D961" s="114"/>
      <c r="I961" s="129"/>
    </row>
    <row r="962">
      <c r="A962" s="114"/>
      <c r="C962" s="29"/>
      <c r="D962" s="114"/>
      <c r="I962" s="129"/>
    </row>
    <row r="963">
      <c r="A963" s="114"/>
      <c r="C963" s="29"/>
      <c r="D963" s="114"/>
      <c r="I963" s="129"/>
    </row>
    <row r="964">
      <c r="A964" s="114"/>
      <c r="C964" s="29"/>
      <c r="D964" s="114"/>
      <c r="I964" s="129"/>
    </row>
    <row r="965">
      <c r="A965" s="114"/>
      <c r="C965" s="29"/>
      <c r="D965" s="114"/>
      <c r="I965" s="129"/>
    </row>
    <row r="966">
      <c r="A966" s="114"/>
      <c r="C966" s="29"/>
      <c r="D966" s="114"/>
      <c r="I966" s="129"/>
    </row>
    <row r="967">
      <c r="A967" s="114"/>
      <c r="C967" s="29"/>
      <c r="D967" s="114"/>
      <c r="I967" s="129"/>
    </row>
    <row r="968">
      <c r="A968" s="114"/>
      <c r="C968" s="29"/>
      <c r="D968" s="114"/>
      <c r="I968" s="129"/>
    </row>
    <row r="969">
      <c r="A969" s="114"/>
      <c r="C969" s="29"/>
      <c r="D969" s="114"/>
      <c r="I969" s="129"/>
    </row>
    <row r="970">
      <c r="A970" s="114"/>
      <c r="C970" s="29"/>
      <c r="D970" s="114"/>
      <c r="I970" s="129"/>
    </row>
    <row r="971">
      <c r="A971" s="114"/>
      <c r="C971" s="29"/>
      <c r="D971" s="114"/>
      <c r="I971" s="129"/>
    </row>
    <row r="972">
      <c r="A972" s="114"/>
      <c r="C972" s="29"/>
      <c r="D972" s="114"/>
      <c r="I972" s="129"/>
    </row>
    <row r="973">
      <c r="A973" s="114"/>
      <c r="C973" s="29"/>
      <c r="D973" s="114"/>
      <c r="I973" s="129"/>
    </row>
    <row r="974">
      <c r="A974" s="114"/>
      <c r="C974" s="29"/>
      <c r="D974" s="114"/>
      <c r="I974" s="129"/>
    </row>
    <row r="975">
      <c r="A975" s="114"/>
      <c r="C975" s="29"/>
      <c r="D975" s="114"/>
      <c r="I975" s="129"/>
    </row>
    <row r="976">
      <c r="A976" s="114"/>
      <c r="C976" s="29"/>
      <c r="D976" s="114"/>
      <c r="I976" s="129"/>
    </row>
    <row r="977">
      <c r="A977" s="114"/>
      <c r="C977" s="29"/>
      <c r="D977" s="114"/>
      <c r="I977" s="129"/>
    </row>
    <row r="978">
      <c r="A978" s="114"/>
      <c r="C978" s="29"/>
      <c r="D978" s="114"/>
      <c r="I978" s="129"/>
    </row>
    <row r="979">
      <c r="A979" s="114"/>
      <c r="C979" s="29"/>
      <c r="D979" s="114"/>
      <c r="I979" s="129"/>
    </row>
    <row r="980">
      <c r="A980" s="114"/>
      <c r="C980" s="29"/>
      <c r="D980" s="114"/>
      <c r="I980" s="129"/>
    </row>
    <row r="981">
      <c r="A981" s="114"/>
      <c r="C981" s="29"/>
      <c r="D981" s="114"/>
      <c r="I981" s="129"/>
    </row>
    <row r="982">
      <c r="A982" s="114"/>
      <c r="C982" s="29"/>
      <c r="D982" s="114"/>
      <c r="I982" s="129"/>
    </row>
    <row r="983">
      <c r="A983" s="114"/>
      <c r="C983" s="29"/>
      <c r="D983" s="114"/>
      <c r="I983" s="129"/>
    </row>
    <row r="984">
      <c r="A984" s="114"/>
      <c r="C984" s="29"/>
      <c r="D984" s="114"/>
      <c r="I984" s="129"/>
    </row>
    <row r="985">
      <c r="A985" s="114"/>
      <c r="C985" s="29"/>
      <c r="D985" s="114"/>
      <c r="I985" s="129"/>
    </row>
    <row r="986">
      <c r="A986" s="114"/>
      <c r="C986" s="29"/>
      <c r="D986" s="114"/>
      <c r="I986" s="129"/>
    </row>
    <row r="987">
      <c r="A987" s="114"/>
      <c r="C987" s="29"/>
      <c r="D987" s="114"/>
      <c r="I987" s="129"/>
    </row>
    <row r="988">
      <c r="A988" s="114"/>
      <c r="C988" s="29"/>
      <c r="D988" s="114"/>
      <c r="I988" s="129"/>
    </row>
    <row r="989">
      <c r="A989" s="114"/>
      <c r="C989" s="29"/>
      <c r="D989" s="114"/>
      <c r="I989" s="129"/>
    </row>
    <row r="990">
      <c r="A990" s="114"/>
      <c r="C990" s="29"/>
      <c r="D990" s="114"/>
      <c r="I990" s="129"/>
    </row>
    <row r="991">
      <c r="A991" s="114"/>
      <c r="C991" s="29"/>
      <c r="D991" s="114"/>
      <c r="I991" s="129"/>
    </row>
    <row r="992">
      <c r="A992" s="114"/>
      <c r="C992" s="29"/>
      <c r="D992" s="114"/>
      <c r="I992" s="129"/>
    </row>
    <row r="993">
      <c r="A993" s="114"/>
      <c r="C993" s="29"/>
      <c r="D993" s="114"/>
      <c r="I993" s="129"/>
    </row>
    <row r="994">
      <c r="A994" s="114"/>
      <c r="C994" s="29"/>
      <c r="D994" s="114"/>
      <c r="I994" s="129"/>
    </row>
    <row r="995">
      <c r="A995" s="114"/>
      <c r="C995" s="29"/>
      <c r="D995" s="114"/>
      <c r="I995" s="129"/>
    </row>
    <row r="996">
      <c r="A996" s="114"/>
      <c r="C996" s="29"/>
      <c r="D996" s="114"/>
      <c r="I996" s="129"/>
    </row>
    <row r="997">
      <c r="A997" s="114"/>
      <c r="C997" s="29"/>
      <c r="D997" s="114"/>
      <c r="I997" s="129"/>
    </row>
    <row r="998">
      <c r="A998" s="114"/>
      <c r="C998" s="29"/>
      <c r="D998" s="114"/>
      <c r="I998" s="129"/>
    </row>
    <row r="999">
      <c r="A999" s="114"/>
      <c r="C999" s="29"/>
      <c r="D999" s="114"/>
      <c r="I999" s="129"/>
    </row>
    <row r="1000">
      <c r="A1000" s="114"/>
      <c r="C1000" s="29"/>
      <c r="D1000" s="114"/>
      <c r="I1000" s="129"/>
    </row>
    <row r="1001">
      <c r="A1001" s="114"/>
      <c r="C1001" s="29"/>
      <c r="D1001" s="114"/>
      <c r="I1001" s="129"/>
    </row>
    <row r="1002">
      <c r="A1002" s="114"/>
      <c r="C1002" s="29"/>
      <c r="D1002" s="114"/>
      <c r="I1002" s="129"/>
    </row>
    <row r="1003">
      <c r="A1003" s="114"/>
      <c r="C1003" s="29"/>
      <c r="D1003" s="114"/>
      <c r="I1003" s="129"/>
    </row>
    <row r="1004">
      <c r="A1004" s="114"/>
      <c r="C1004" s="29"/>
      <c r="D1004" s="114"/>
      <c r="I1004" s="129"/>
    </row>
  </sheetData>
  <mergeCells count="1">
    <mergeCell ref="I1:I2"/>
  </mergeCells>
  <conditionalFormatting sqref="C3 C7">
    <cfRule type="cellIs" dxfId="6" priority="1" operator="lessThan">
      <formula>0</formula>
    </cfRule>
  </conditionalFormatting>
  <conditionalFormatting sqref="C2 C6">
    <cfRule type="cellIs" dxfId="7" priority="2" operator="greaterThanOrEqual">
      <formula>1*C4</formula>
    </cfRule>
  </conditionalFormatting>
  <conditionalFormatting sqref="C2 C6">
    <cfRule type="cellIs" dxfId="8" priority="3" operator="lessThan">
      <formula>1*C4</formula>
    </cfRule>
  </conditionalFormatting>
  <conditionalFormatting sqref="C4 C12">
    <cfRule type="cellIs" dxfId="7" priority="4" operator="greaterThan">
      <formula>"&amp;B2"</formula>
    </cfRule>
  </conditionalFormatting>
  <conditionalFormatting sqref="C3 C7">
    <cfRule type="cellIs" dxfId="9" priority="5" operator="greaterThan">
      <formula>0</formula>
    </cfRule>
  </conditionalFormatting>
  <conditionalFormatting sqref="C20">
    <cfRule type="cellIs" dxfId="5" priority="6" operator="between">
      <formula>249</formula>
      <formula>200</formula>
    </cfRule>
  </conditionalFormatting>
  <conditionalFormatting sqref="C20">
    <cfRule type="cellIs" dxfId="10" priority="7" operator="between">
      <formula>199</formula>
      <formula>100</formula>
    </cfRule>
  </conditionalFormatting>
  <conditionalFormatting sqref="C20">
    <cfRule type="cellIs" dxfId="11" priority="8" operator="lessThan">
      <formula>99</formula>
    </cfRule>
  </conditionalFormatting>
  <conditionalFormatting sqref="C8">
    <cfRule type="cellIs" dxfId="5" priority="9" operator="lessThan">
      <formula>"C4 "</formula>
    </cfRule>
  </conditionalFormatting>
  <conditionalFormatting sqref="A13:A303">
    <cfRule type="cellIs" dxfId="11" priority="10" operator="equal">
      <formula>"TRUE"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3.88"/>
    <col customWidth="1" min="3" max="3" width="11.13"/>
    <col customWidth="1" min="4" max="4" width="4.0"/>
    <col customWidth="1" min="5" max="5" width="15.38"/>
  </cols>
  <sheetData>
    <row r="1">
      <c r="A1" s="1"/>
      <c r="B1" s="3" t="s">
        <v>1</v>
      </c>
      <c r="C1" s="8">
        <f>NOW()</f>
        <v>46242.75275</v>
      </c>
      <c r="D1" s="14" t="s">
        <v>5</v>
      </c>
      <c r="E1" s="12"/>
      <c r="I1" s="17" t="s">
        <v>6</v>
      </c>
    </row>
    <row r="2">
      <c r="A2" s="1"/>
      <c r="B2" s="19" t="s">
        <v>9</v>
      </c>
      <c r="C2" s="21">
        <f>spese!C3</f>
        <v>372</v>
      </c>
      <c r="D2" s="23"/>
      <c r="E2" s="12"/>
      <c r="I2" s="25"/>
    </row>
    <row r="3">
      <c r="A3" s="1"/>
      <c r="B3" s="19" t="s">
        <v>13</v>
      </c>
      <c r="C3" s="30">
        <f>C2</f>
        <v>372</v>
      </c>
      <c r="D3" s="23"/>
      <c r="E3" s="12"/>
      <c r="I3" s="33"/>
    </row>
    <row r="4">
      <c r="A4" s="1"/>
      <c r="B4" s="19" t="s">
        <v>18</v>
      </c>
      <c r="C4" s="30">
        <f>SUM(C13:C303)</f>
        <v>210</v>
      </c>
      <c r="D4" s="23"/>
      <c r="I4" s="33"/>
    </row>
    <row r="5">
      <c r="A5" s="1"/>
      <c r="B5" s="19" t="s">
        <v>21</v>
      </c>
      <c r="C5" s="30">
        <f>SUM(I13:I303)</f>
        <v>0</v>
      </c>
      <c r="D5" s="41"/>
      <c r="E5" s="43"/>
      <c r="I5" s="33"/>
    </row>
    <row r="6">
      <c r="A6" s="1"/>
      <c r="B6" s="19" t="s">
        <v>23</v>
      </c>
      <c r="C6" s="45">
        <f>spese!C4</f>
        <v>532</v>
      </c>
      <c r="D6" s="41"/>
      <c r="E6" s="43"/>
      <c r="I6" s="33"/>
    </row>
    <row r="7">
      <c r="A7" s="1"/>
      <c r="B7" s="19" t="s">
        <v>26</v>
      </c>
      <c r="C7" s="30">
        <f>C2+C6</f>
        <v>904</v>
      </c>
      <c r="D7" s="41"/>
      <c r="E7" s="43"/>
      <c r="I7" s="33"/>
    </row>
    <row r="8">
      <c r="A8" s="1"/>
      <c r="B8" s="19" t="s">
        <v>29</v>
      </c>
      <c r="C8" s="52">
        <f>(C4-C5)</f>
        <v>210</v>
      </c>
      <c r="D8" s="41"/>
      <c r="E8" s="43"/>
      <c r="I8" s="33"/>
    </row>
    <row r="9">
      <c r="A9" s="1"/>
      <c r="B9" s="55"/>
      <c r="C9" s="41"/>
      <c r="D9" s="41"/>
      <c r="E9" s="43"/>
      <c r="I9" s="33"/>
    </row>
    <row r="10">
      <c r="A10" s="1"/>
      <c r="B10" s="59" t="s">
        <v>33</v>
      </c>
      <c r="C10" s="60">
        <f>C2+C6-C4</f>
        <v>694</v>
      </c>
      <c r="D10" s="62" t="str">
        <f>IF(C8&gt;C7,"🆘","✅")</f>
        <v>✅</v>
      </c>
      <c r="E10" s="43"/>
      <c r="I10" s="33"/>
    </row>
    <row r="11">
      <c r="A11" s="1"/>
      <c r="B11" s="19"/>
      <c r="C11" s="41"/>
      <c r="D11" s="41"/>
      <c r="E11" s="43"/>
      <c r="I11" s="33"/>
    </row>
    <row r="12">
      <c r="A12" s="1"/>
      <c r="B12" s="63" t="s">
        <v>36</v>
      </c>
      <c r="C12" s="65"/>
      <c r="D12" s="41"/>
      <c r="E12" s="43"/>
      <c r="I12" s="33"/>
    </row>
    <row r="13">
      <c r="A13" s="67"/>
      <c r="B13" s="3" t="str">
        <f>IF(spese!A13="f",spese!B13,"")</f>
        <v/>
      </c>
      <c r="C13" s="45" t="str">
        <f>IF(spese!A13="f",spese!C13*D13,"")</f>
        <v/>
      </c>
      <c r="D13" s="71"/>
      <c r="I13" s="33" t="str">
        <f t="shared" ref="I13:I18" si="1">IF(A13="x",C13,"")</f>
        <v/>
      </c>
    </row>
    <row r="14">
      <c r="A14" s="67"/>
      <c r="B14" s="3" t="str">
        <f>IF(spese!A14="f",spese!B14,"")</f>
        <v/>
      </c>
      <c r="C14" s="45" t="str">
        <f>IF(spese!A14="f",spese!C14,"")</f>
        <v/>
      </c>
      <c r="D14" s="79"/>
      <c r="I14" s="33" t="str">
        <f t="shared" si="1"/>
        <v/>
      </c>
    </row>
    <row r="15">
      <c r="A15" s="67"/>
      <c r="B15" s="3" t="str">
        <f>IF(spese!A15="f",spese!B15,"")</f>
        <v/>
      </c>
      <c r="C15" s="45" t="str">
        <f>IF(spese!A15="f",spese!C15,"")</f>
        <v/>
      </c>
      <c r="D15" s="79"/>
      <c r="I15" s="33" t="str">
        <f t="shared" si="1"/>
        <v/>
      </c>
    </row>
    <row r="16">
      <c r="A16" s="67"/>
      <c r="B16" s="3" t="str">
        <f>IF(spese!A16="f",spese!B16,"")</f>
        <v/>
      </c>
      <c r="C16" s="45" t="str">
        <f>IF(spese!A16="f",spese!C16,"")</f>
        <v/>
      </c>
      <c r="D16" s="79"/>
      <c r="I16" s="33" t="str">
        <f t="shared" si="1"/>
        <v/>
      </c>
    </row>
    <row r="17">
      <c r="A17" s="67"/>
      <c r="B17" s="3" t="str">
        <f>IF(spese!A17="f",spese!B17,"")</f>
        <v/>
      </c>
      <c r="C17" s="45" t="str">
        <f>IF(spese!A17="f",spese!C17,"")</f>
        <v/>
      </c>
      <c r="D17" s="79"/>
      <c r="I17" s="33" t="str">
        <f t="shared" si="1"/>
        <v/>
      </c>
    </row>
    <row r="18">
      <c r="A18" s="67"/>
      <c r="B18" s="3" t="str">
        <f>IF(spese!A18="f",spese!B18,"")</f>
        <v/>
      </c>
      <c r="C18" s="45" t="str">
        <f>IF(spese!A18="f",spese!C18,"")</f>
        <v/>
      </c>
      <c r="D18" s="79"/>
      <c r="I18" s="33" t="str">
        <f t="shared" si="1"/>
        <v/>
      </c>
    </row>
    <row r="19">
      <c r="A19" s="67"/>
      <c r="B19" s="3" t="str">
        <f>IF(spese!A19="f",spese!B19,"")</f>
        <v/>
      </c>
      <c r="C19" s="45" t="str">
        <f>IF(spese!A19="f",spese!C19,"")</f>
        <v/>
      </c>
      <c r="D19" s="79"/>
      <c r="I19" s="33"/>
    </row>
    <row r="20">
      <c r="A20" s="67"/>
      <c r="B20" s="82" t="str">
        <f>IF(spese!A20="f",spese!B20,"")</f>
        <v/>
      </c>
      <c r="C20" s="85" t="str">
        <f>IF(spese!A20="f",spese!C20-Acquisti!B1,"")</f>
        <v/>
      </c>
      <c r="D20" s="79"/>
      <c r="I20" s="33" t="str">
        <f>IF(A20="x",C20,"")</f>
        <v/>
      </c>
    </row>
    <row r="21">
      <c r="A21" s="67"/>
      <c r="B21" s="81" t="str">
        <f>IF(spese!A21="f",spese!B21,"")</f>
        <v>Da versare nel conto di Diletta</v>
      </c>
      <c r="C21" s="84">
        <f>IF(spese!A21="f",spese!C21,"")</f>
        <v>200</v>
      </c>
      <c r="D21" s="71"/>
      <c r="I21" s="33"/>
    </row>
    <row r="22">
      <c r="A22" s="67"/>
      <c r="B22" s="3" t="str">
        <f>IF(spese!A22="f",spese!B22,"")</f>
        <v/>
      </c>
      <c r="C22" s="45" t="str">
        <f>IF(spese!A22="f",spese!C22,"")</f>
        <v/>
      </c>
      <c r="D22" s="79"/>
      <c r="I22" s="33"/>
    </row>
    <row r="23">
      <c r="A23" s="67"/>
      <c r="B23" s="3" t="str">
        <f>IF(spese!A23="f",spese!B23,"")</f>
        <v/>
      </c>
      <c r="C23" s="45" t="str">
        <f>IF(spese!A23="f",spese!C23,"")</f>
        <v/>
      </c>
      <c r="D23" s="79"/>
      <c r="I23" s="33"/>
    </row>
    <row r="24">
      <c r="A24" s="67"/>
      <c r="B24" s="3" t="str">
        <f>IF(spese!A24="f",spese!B24,"")</f>
        <v/>
      </c>
      <c r="C24" s="45" t="str">
        <f>IF(spese!A24="f",spese!C24,"")</f>
        <v/>
      </c>
      <c r="D24" s="79"/>
      <c r="I24" s="33"/>
    </row>
    <row r="25">
      <c r="A25" s="67"/>
      <c r="B25" s="3" t="str">
        <f>IF(spese!A25="f",spese!B25,"")</f>
        <v/>
      </c>
      <c r="C25" s="45" t="str">
        <f>IF(spese!A25="f",spese!C25,"")</f>
        <v/>
      </c>
      <c r="D25" s="79"/>
      <c r="I25" s="33"/>
    </row>
    <row r="26">
      <c r="A26" s="67"/>
      <c r="B26" s="3" t="str">
        <f>IF(spese!A26="f",spese!B26,"")</f>
        <v/>
      </c>
      <c r="C26" s="45" t="str">
        <f>IF(spese!A26="f",spese!C26,"")</f>
        <v/>
      </c>
      <c r="D26" s="79"/>
      <c r="I26" s="33"/>
    </row>
    <row r="27">
      <c r="A27" s="67"/>
      <c r="B27" s="3" t="str">
        <f>IF(spese!A27="f",spese!B27,"")</f>
        <v>costi cc bancario Findomestic </v>
      </c>
      <c r="C27" s="45">
        <f>IF(spese!A27="f",spese!C27,"")</f>
        <v>10</v>
      </c>
      <c r="D27" s="79"/>
      <c r="I27" s="33"/>
    </row>
    <row r="28">
      <c r="A28" s="67"/>
      <c r="B28" s="92" t="s">
        <v>61</v>
      </c>
      <c r="C28" s="93"/>
      <c r="D28" s="79"/>
      <c r="I28" s="33"/>
    </row>
    <row r="29">
      <c r="A29" s="67"/>
      <c r="B29" s="97" t="str">
        <f>IF(spese!A29="f",spese!B29,"")</f>
        <v/>
      </c>
      <c r="C29" s="99" t="str">
        <f>IF(spese!A29="f",(spese!C29/spese!E29)*(spese!E29-spese!F29),"")</f>
        <v/>
      </c>
      <c r="D29" s="71"/>
      <c r="I29" s="33" t="str">
        <f t="shared" ref="I29:I303" si="2">IF(A29="x",C29,"")</f>
        <v/>
      </c>
    </row>
    <row r="30">
      <c r="A30" s="67"/>
      <c r="B30" s="97" t="str">
        <f>IF(spese!A30="f",spese!B30,"")</f>
        <v/>
      </c>
      <c r="C30" s="99" t="str">
        <f>IF(spese!A30="f",(spese!C30/spese!E30)*(spese!E30-spese!F30),"")</f>
        <v/>
      </c>
      <c r="D30" s="71"/>
      <c r="I30" s="106" t="str">
        <f t="shared" si="2"/>
        <v/>
      </c>
    </row>
    <row r="31">
      <c r="A31" s="67"/>
      <c r="B31" s="97" t="str">
        <f>IF(spese!A31="f",spese!B31,"")</f>
        <v/>
      </c>
      <c r="C31" s="99" t="str">
        <f>IF(spese!A31="f",(spese!C31/spese!E31)*(spese!E31-spese!F31),"")</f>
        <v/>
      </c>
      <c r="D31" s="71"/>
      <c r="I31" s="106" t="str">
        <f t="shared" si="2"/>
        <v/>
      </c>
    </row>
    <row r="32">
      <c r="A32" s="67"/>
      <c r="B32" s="97" t="str">
        <f>IF(spese!A32="f",spese!B32,"")</f>
        <v/>
      </c>
      <c r="C32" s="99" t="str">
        <f>IF(spese!A32="f",(spese!C32/spese!E32)*(spese!E32-spese!F32),"")</f>
        <v/>
      </c>
      <c r="D32" s="71"/>
      <c r="I32" s="106" t="str">
        <f t="shared" si="2"/>
        <v/>
      </c>
    </row>
    <row r="33">
      <c r="A33" s="67"/>
      <c r="B33" s="97" t="str">
        <f>IF(spese!A33="f",spese!B33,"")</f>
        <v/>
      </c>
      <c r="C33" s="99" t="str">
        <f>IF(spese!A33="f",(spese!C33/spese!E33)*(spese!E33-spese!F33),"")</f>
        <v/>
      </c>
      <c r="D33" s="71"/>
      <c r="I33" s="106" t="str">
        <f t="shared" si="2"/>
        <v/>
      </c>
    </row>
    <row r="34">
      <c r="A34" s="67"/>
      <c r="B34" s="97" t="str">
        <f>IF(spese!A34="f",spese!B34,"")</f>
        <v/>
      </c>
      <c r="C34" s="99" t="str">
        <f>IF(spese!A34="f",(spese!C34/spese!E34)*(spese!E34-spese!F34),"")</f>
        <v/>
      </c>
      <c r="D34" s="71"/>
      <c r="I34" s="106" t="str">
        <f t="shared" si="2"/>
        <v/>
      </c>
    </row>
    <row r="35">
      <c r="A35" s="67"/>
      <c r="B35" s="97" t="str">
        <f>IF(spese!A35="f",spese!B35,"")</f>
        <v/>
      </c>
      <c r="C35" s="99" t="str">
        <f>IF(spese!A35="f",(spese!C35/spese!E35)*(spese!E35-spese!F35),"")</f>
        <v/>
      </c>
      <c r="D35" s="71"/>
      <c r="I35" s="106" t="str">
        <f t="shared" si="2"/>
        <v/>
      </c>
    </row>
    <row r="36">
      <c r="A36" s="67"/>
      <c r="B36" s="97" t="str">
        <f>IF(spese!A36="f",spese!B36,"")</f>
        <v/>
      </c>
      <c r="C36" s="99" t="str">
        <f>IF(spese!A36="f",(spese!C36/spese!E36)*(spese!E36-spese!F36),"")</f>
        <v/>
      </c>
      <c r="D36" s="71"/>
      <c r="I36" s="106" t="str">
        <f t="shared" si="2"/>
        <v/>
      </c>
    </row>
    <row r="37">
      <c r="A37" s="67"/>
      <c r="B37" s="97" t="str">
        <f>IF(spese!A37="f",spese!B37,"")</f>
        <v/>
      </c>
      <c r="C37" s="99" t="str">
        <f>IF(spese!A37="f",(spese!C37/spese!E37)*(spese!E37-spese!F37),"")</f>
        <v/>
      </c>
      <c r="D37" s="71"/>
      <c r="I37" s="106" t="str">
        <f t="shared" si="2"/>
        <v/>
      </c>
    </row>
    <row r="38">
      <c r="A38" s="67"/>
      <c r="B38" s="97" t="str">
        <f>IF(spese!A38="f",spese!B38,"")</f>
        <v/>
      </c>
      <c r="C38" s="99" t="str">
        <f>IF(spese!A38="f",(spese!C38/spese!E38)*(spese!E38-spese!F38),"")</f>
        <v/>
      </c>
      <c r="D38" s="71"/>
      <c r="I38" s="106" t="str">
        <f t="shared" si="2"/>
        <v/>
      </c>
    </row>
    <row r="39">
      <c r="A39" s="67"/>
      <c r="B39" s="97" t="str">
        <f>IF(spese!A39="f",spese!B39,"")</f>
        <v/>
      </c>
      <c r="C39" s="99" t="str">
        <f>IF(spese!A39="f",(spese!C39/spese!E39)*(spese!E39-spese!F39),"")</f>
        <v/>
      </c>
      <c r="D39" s="71"/>
      <c r="I39" s="106" t="str">
        <f t="shared" si="2"/>
        <v/>
      </c>
    </row>
    <row r="40">
      <c r="A40" s="67"/>
      <c r="B40" s="97" t="str">
        <f>IF(spese!A40="f",spese!B40,"")</f>
        <v/>
      </c>
      <c r="C40" s="99" t="str">
        <f>IF(spese!A40="f",(spese!C40/spese!E40)*(spese!E40-spese!F40),"")</f>
        <v/>
      </c>
      <c r="D40" s="71"/>
      <c r="I40" s="106" t="str">
        <f t="shared" si="2"/>
        <v/>
      </c>
    </row>
    <row r="41">
      <c r="A41" s="67"/>
      <c r="B41" s="97" t="str">
        <f>IF(spese!A41="f",spese!B41,"")</f>
        <v/>
      </c>
      <c r="C41" s="99" t="str">
        <f>IF(spese!A41="f",(spese!C41/spese!E41)*(spese!E41-spese!F41),"")</f>
        <v/>
      </c>
      <c r="D41" s="71"/>
      <c r="I41" s="106" t="str">
        <f t="shared" si="2"/>
        <v/>
      </c>
    </row>
    <row r="42">
      <c r="A42" s="67"/>
      <c r="B42" s="97" t="str">
        <f>IF(spese!A42="f",spese!B42,"")</f>
        <v/>
      </c>
      <c r="C42" s="99" t="str">
        <f>IF(spese!A42="f",(spese!C42/spese!E42)*(spese!E42-spese!F42),"")</f>
        <v/>
      </c>
      <c r="D42" s="71"/>
      <c r="I42" s="106" t="str">
        <f t="shared" si="2"/>
        <v/>
      </c>
    </row>
    <row r="43">
      <c r="A43" s="67"/>
      <c r="B43" s="97" t="str">
        <f>IF(spese!A43="f",spese!B43,"")</f>
        <v/>
      </c>
      <c r="C43" s="99" t="str">
        <f>IF(spese!A43="f",(spese!C43/spese!E43)*(spese!E43-spese!F43),"")</f>
        <v/>
      </c>
      <c r="D43" s="71"/>
      <c r="I43" s="106" t="str">
        <f t="shared" si="2"/>
        <v/>
      </c>
    </row>
    <row r="44">
      <c r="A44" s="67"/>
      <c r="B44" s="112" t="s">
        <v>87</v>
      </c>
      <c r="C44" s="113"/>
      <c r="D44" s="114"/>
      <c r="I44" s="106" t="str">
        <f t="shared" si="2"/>
        <v/>
      </c>
    </row>
    <row r="45">
      <c r="A45" s="67"/>
      <c r="B45" s="115" t="str">
        <f>IF(spese!A45="f",spese!B45,"")</f>
        <v/>
      </c>
      <c r="C45" s="116" t="str">
        <f>IF(spese!A45="f",spese!C45,"")</f>
        <v/>
      </c>
      <c r="D45" s="114"/>
      <c r="I45" s="106" t="str">
        <f t="shared" si="2"/>
        <v/>
      </c>
    </row>
    <row r="46">
      <c r="A46" s="114"/>
      <c r="B46" s="115" t="str">
        <f>IF(spese!A46="f",spese!B46,"")</f>
        <v/>
      </c>
      <c r="C46" s="116" t="str">
        <f>IF(spese!A46="f",spese!C46,"")</f>
        <v/>
      </c>
      <c r="D46" s="114"/>
      <c r="I46" s="106" t="str">
        <f t="shared" si="2"/>
        <v/>
      </c>
    </row>
    <row r="47">
      <c r="A47" s="114"/>
      <c r="B47" s="115" t="str">
        <f>IF(spese!A47="f",spese!B47,"")</f>
        <v/>
      </c>
      <c r="C47" s="116" t="str">
        <f>IF(spese!A47="f",spese!C47,"")</f>
        <v/>
      </c>
      <c r="D47" s="114"/>
      <c r="I47" s="106" t="str">
        <f t="shared" si="2"/>
        <v/>
      </c>
    </row>
    <row r="48">
      <c r="A48" s="114"/>
      <c r="B48" s="115" t="str">
        <f>IF(spese!A48="f",spese!B48,"")</f>
        <v/>
      </c>
      <c r="C48" s="116" t="str">
        <f>IF(spese!A48="f",spese!C48,"")</f>
        <v/>
      </c>
      <c r="D48" s="114"/>
      <c r="I48" s="106" t="str">
        <f t="shared" si="2"/>
        <v/>
      </c>
    </row>
    <row r="49">
      <c r="A49" s="114"/>
      <c r="B49" s="115" t="str">
        <f>IF(spese!A49="f",spese!B49,"")</f>
        <v/>
      </c>
      <c r="C49" s="116" t="str">
        <f>IF(spese!A49="f",spese!C49,"")</f>
        <v/>
      </c>
      <c r="D49" s="114"/>
      <c r="I49" s="106" t="str">
        <f t="shared" si="2"/>
        <v/>
      </c>
    </row>
    <row r="50">
      <c r="A50" s="114"/>
      <c r="B50" s="115" t="str">
        <f>IF(spese!A50="f",spese!B50,"")</f>
        <v/>
      </c>
      <c r="C50" s="116" t="str">
        <f>IF(spese!A50="f",spese!C50,"")</f>
        <v/>
      </c>
      <c r="D50" s="114"/>
      <c r="I50" s="106" t="str">
        <f t="shared" si="2"/>
        <v/>
      </c>
    </row>
    <row r="51">
      <c r="A51" s="114"/>
      <c r="B51" s="115" t="str">
        <f>IF(spese!A51="f",spese!B51,"")</f>
        <v/>
      </c>
      <c r="C51" s="116" t="str">
        <f>IF(spese!A51="f",spese!C51,"")</f>
        <v/>
      </c>
      <c r="D51" s="114"/>
      <c r="I51" s="106" t="str">
        <f t="shared" si="2"/>
        <v/>
      </c>
    </row>
    <row r="52">
      <c r="A52" s="114"/>
      <c r="B52" s="115" t="str">
        <f>IF(spese!A52="f",spese!B52,"")</f>
        <v/>
      </c>
      <c r="C52" s="116" t="str">
        <f>IF(spese!A52="f",spese!C52,"")</f>
        <v/>
      </c>
      <c r="D52" s="114"/>
      <c r="I52" s="106" t="str">
        <f t="shared" si="2"/>
        <v/>
      </c>
    </row>
    <row r="53">
      <c r="A53" s="114"/>
      <c r="B53" s="115" t="str">
        <f>IF(spese!A53="f",spese!B53,"")</f>
        <v/>
      </c>
      <c r="C53" s="116" t="str">
        <f>IF(spese!A53="f",spese!C53,"")</f>
        <v/>
      </c>
      <c r="D53" s="114"/>
      <c r="I53" s="106" t="str">
        <f t="shared" si="2"/>
        <v/>
      </c>
    </row>
    <row r="54">
      <c r="A54" s="114"/>
      <c r="B54" s="115" t="str">
        <f>IF(spese!A54="f",spese!B54,"")</f>
        <v/>
      </c>
      <c r="C54" s="116" t="str">
        <f>IF(spese!A54="f",spese!C54,"")</f>
        <v/>
      </c>
      <c r="D54" s="114"/>
      <c r="I54" s="106" t="str">
        <f t="shared" si="2"/>
        <v/>
      </c>
    </row>
    <row r="55">
      <c r="A55" s="114"/>
      <c r="B55" s="115" t="str">
        <f>IF(spese!A55="f",spese!B55,"")</f>
        <v/>
      </c>
      <c r="C55" s="116" t="str">
        <f>IF(spese!A55="f",spese!C55,"")</f>
        <v/>
      </c>
      <c r="D55" s="114"/>
      <c r="I55" s="106" t="str">
        <f t="shared" si="2"/>
        <v/>
      </c>
    </row>
    <row r="56">
      <c r="A56" s="114"/>
      <c r="B56" s="115" t="str">
        <f>IF(spese!A56="f",spese!B56,"")</f>
        <v/>
      </c>
      <c r="C56" s="116" t="str">
        <f>IF(spese!A56="f",spese!C56,"")</f>
        <v/>
      </c>
      <c r="D56" s="114"/>
      <c r="I56" s="106" t="str">
        <f t="shared" si="2"/>
        <v/>
      </c>
    </row>
    <row r="57">
      <c r="A57" s="114"/>
      <c r="B57" s="115" t="str">
        <f>IF(spese!A57="f",spese!B57,"")</f>
        <v/>
      </c>
      <c r="C57" s="116" t="str">
        <f>IF(spese!A57="f",spese!C57,"")</f>
        <v/>
      </c>
      <c r="D57" s="114"/>
      <c r="I57" s="106" t="str">
        <f t="shared" si="2"/>
        <v/>
      </c>
    </row>
    <row r="58">
      <c r="A58" s="114"/>
      <c r="B58" s="115" t="str">
        <f>IF(spese!A58="f",spese!B58,"")</f>
        <v/>
      </c>
      <c r="C58" s="116" t="str">
        <f>IF(spese!A58="f",spese!C58,"")</f>
        <v/>
      </c>
      <c r="D58" s="114"/>
      <c r="I58" s="106" t="str">
        <f t="shared" si="2"/>
        <v/>
      </c>
    </row>
    <row r="59">
      <c r="A59" s="114"/>
      <c r="B59" s="115" t="str">
        <f>IF(spese!A59="f",spese!B59,"")</f>
        <v/>
      </c>
      <c r="C59" s="116" t="str">
        <f>IF(spese!A59="f",spese!C59,"")</f>
        <v/>
      </c>
      <c r="D59" s="114"/>
      <c r="I59" s="106" t="str">
        <f t="shared" si="2"/>
        <v/>
      </c>
    </row>
    <row r="60">
      <c r="A60" s="114"/>
      <c r="B60" s="115" t="str">
        <f>IF(spese!A60="f",spese!B60,"")</f>
        <v/>
      </c>
      <c r="C60" s="116" t="str">
        <f>IF(spese!A60="f",spese!C60,"")</f>
        <v/>
      </c>
      <c r="D60" s="114"/>
      <c r="I60" s="106" t="str">
        <f t="shared" si="2"/>
        <v/>
      </c>
    </row>
    <row r="61">
      <c r="A61" s="114"/>
      <c r="B61" s="115" t="str">
        <f>IF(spese!A61="f",spese!B61,"")</f>
        <v/>
      </c>
      <c r="C61" s="116" t="str">
        <f>IF(spese!A61="f",spese!C61,"")</f>
        <v/>
      </c>
      <c r="D61" s="114"/>
      <c r="I61" s="106" t="str">
        <f t="shared" si="2"/>
        <v/>
      </c>
    </row>
    <row r="62">
      <c r="A62" s="114"/>
      <c r="B62" s="115" t="str">
        <f>IF(spese!A62="f",spese!B62,"")</f>
        <v/>
      </c>
      <c r="C62" s="116" t="str">
        <f>IF(spese!A62="f",spese!C62,"")</f>
        <v/>
      </c>
      <c r="D62" s="114"/>
      <c r="I62" s="106" t="str">
        <f t="shared" si="2"/>
        <v/>
      </c>
    </row>
    <row r="63">
      <c r="A63" s="114"/>
      <c r="B63" s="115" t="str">
        <f>IF(spese!A63="f",spese!B63,"")</f>
        <v/>
      </c>
      <c r="C63" s="116" t="str">
        <f>IF(spese!A63="f",spese!C63,"")</f>
        <v/>
      </c>
      <c r="D63" s="114"/>
      <c r="I63" s="106" t="str">
        <f t="shared" si="2"/>
        <v/>
      </c>
    </row>
    <row r="64">
      <c r="A64" s="114"/>
      <c r="B64" s="115" t="str">
        <f>IF(spese!A64="f",spese!B64,"")</f>
        <v/>
      </c>
      <c r="C64" s="116" t="str">
        <f>IF(spese!A64="f",spese!C64,"")</f>
        <v/>
      </c>
      <c r="D64" s="114"/>
      <c r="I64" s="106" t="str">
        <f t="shared" si="2"/>
        <v/>
      </c>
    </row>
    <row r="65">
      <c r="A65" s="114"/>
      <c r="B65" s="115" t="str">
        <f>IF(spese!A65="f",spese!B65,"")</f>
        <v/>
      </c>
      <c r="C65" s="116" t="str">
        <f>IF(spese!A65="f",spese!C65,"")</f>
        <v/>
      </c>
      <c r="D65" s="114"/>
      <c r="I65" s="106" t="str">
        <f t="shared" si="2"/>
        <v/>
      </c>
    </row>
    <row r="66">
      <c r="A66" s="114"/>
      <c r="B66" s="115" t="str">
        <f>IF(spese!A66="f",spese!B66,"")</f>
        <v/>
      </c>
      <c r="C66" s="116" t="str">
        <f>IF(spese!A66="f",spese!C66,"")</f>
        <v/>
      </c>
      <c r="D66" s="114"/>
      <c r="I66" s="106" t="str">
        <f t="shared" si="2"/>
        <v/>
      </c>
    </row>
    <row r="67">
      <c r="A67" s="114"/>
      <c r="B67" s="115" t="str">
        <f>IF(spese!A67="f",spese!B67,"")</f>
        <v/>
      </c>
      <c r="C67" s="116" t="str">
        <f>IF(spese!A67="f",spese!C67,"")</f>
        <v/>
      </c>
      <c r="D67" s="114"/>
      <c r="I67" s="106" t="str">
        <f t="shared" si="2"/>
        <v/>
      </c>
    </row>
    <row r="68">
      <c r="A68" s="114"/>
      <c r="B68" s="115" t="str">
        <f>IF(spese!A68="f",spese!B68,"")</f>
        <v/>
      </c>
      <c r="C68" s="116" t="str">
        <f>IF(spese!A68="f",spese!C68,"")</f>
        <v/>
      </c>
      <c r="D68" s="114"/>
      <c r="I68" s="106" t="str">
        <f t="shared" si="2"/>
        <v/>
      </c>
    </row>
    <row r="69">
      <c r="A69" s="114"/>
      <c r="B69" s="115" t="str">
        <f>IF(spese!A69="f",spese!B69,"")</f>
        <v/>
      </c>
      <c r="C69" s="116" t="str">
        <f>IF(spese!A69="f",spese!C69,"")</f>
        <v/>
      </c>
      <c r="D69" s="114"/>
      <c r="I69" s="106" t="str">
        <f t="shared" si="2"/>
        <v/>
      </c>
    </row>
    <row r="70">
      <c r="A70" s="114"/>
      <c r="B70" s="115" t="str">
        <f>IF(spese!A70="f",spese!B70,"")</f>
        <v/>
      </c>
      <c r="C70" s="116" t="str">
        <f>IF(spese!A70="f",spese!C70,"")</f>
        <v/>
      </c>
      <c r="D70" s="114"/>
      <c r="I70" s="106" t="str">
        <f t="shared" si="2"/>
        <v/>
      </c>
    </row>
    <row r="71">
      <c r="A71" s="114"/>
      <c r="B71" s="115" t="str">
        <f>IF(spese!A71="f",spese!B71,"")</f>
        <v/>
      </c>
      <c r="C71" s="116" t="str">
        <f>IF(spese!A71="f",spese!C71,"")</f>
        <v/>
      </c>
      <c r="D71" s="114"/>
      <c r="I71" s="106" t="str">
        <f t="shared" si="2"/>
        <v/>
      </c>
    </row>
    <row r="72">
      <c r="A72" s="114"/>
      <c r="B72" s="115" t="str">
        <f>IF(spese!A72="f",spese!B72,"")</f>
        <v/>
      </c>
      <c r="C72" s="116" t="str">
        <f>IF(spese!A72="f",spese!C72,"")</f>
        <v/>
      </c>
      <c r="D72" s="114"/>
      <c r="I72" s="106" t="str">
        <f t="shared" si="2"/>
        <v/>
      </c>
    </row>
    <row r="73">
      <c r="A73" s="114"/>
      <c r="B73" s="115" t="str">
        <f>IF(spese!A73="f",spese!B73,"")</f>
        <v/>
      </c>
      <c r="C73" s="116" t="str">
        <f>IF(spese!A73="f",spese!C73,"")</f>
        <v/>
      </c>
      <c r="D73" s="114"/>
      <c r="I73" s="106" t="str">
        <f t="shared" si="2"/>
        <v/>
      </c>
    </row>
    <row r="74">
      <c r="A74" s="114"/>
      <c r="B74" s="115" t="str">
        <f>IF(spese!A74="f",spese!B74,"")</f>
        <v/>
      </c>
      <c r="C74" s="116" t="str">
        <f>IF(spese!A74="f",spese!C74,"")</f>
        <v/>
      </c>
      <c r="D74" s="114"/>
      <c r="I74" s="106" t="str">
        <f t="shared" si="2"/>
        <v/>
      </c>
    </row>
    <row r="75">
      <c r="A75" s="114"/>
      <c r="B75" s="115" t="str">
        <f>IF(spese!A75="f",spese!B75,"")</f>
        <v/>
      </c>
      <c r="C75" s="116" t="str">
        <f>IF(spese!A75="f",spese!C75,"")</f>
        <v/>
      </c>
      <c r="D75" s="114"/>
      <c r="I75" s="106" t="str">
        <f t="shared" si="2"/>
        <v/>
      </c>
    </row>
    <row r="76">
      <c r="A76" s="114"/>
      <c r="B76" s="115" t="str">
        <f>IF(spese!A76="f",spese!B76,"")</f>
        <v/>
      </c>
      <c r="C76" s="116" t="str">
        <f>IF(spese!A76="f",spese!C76,"")</f>
        <v/>
      </c>
      <c r="D76" s="114"/>
      <c r="I76" s="106" t="str">
        <f t="shared" si="2"/>
        <v/>
      </c>
    </row>
    <row r="77">
      <c r="A77" s="114"/>
      <c r="B77" s="115" t="str">
        <f>IF(spese!A77="f",spese!B77,"")</f>
        <v/>
      </c>
      <c r="C77" s="116" t="str">
        <f>IF(spese!A77="f",spese!C77,"")</f>
        <v/>
      </c>
      <c r="D77" s="114"/>
      <c r="I77" s="106" t="str">
        <f t="shared" si="2"/>
        <v/>
      </c>
    </row>
    <row r="78">
      <c r="A78" s="114"/>
      <c r="B78" s="115" t="str">
        <f>IF(spese!A78="f",spese!B78,"")</f>
        <v/>
      </c>
      <c r="C78" s="116" t="str">
        <f>IF(spese!A78="f",spese!C78,"")</f>
        <v/>
      </c>
      <c r="D78" s="114"/>
      <c r="I78" s="106" t="str">
        <f t="shared" si="2"/>
        <v/>
      </c>
    </row>
    <row r="79">
      <c r="A79" s="114"/>
      <c r="B79" s="115" t="str">
        <f>IF(spese!A79="f",spese!B79,"")</f>
        <v/>
      </c>
      <c r="C79" s="116" t="str">
        <f>IF(spese!A79="f",spese!C79,"")</f>
        <v/>
      </c>
      <c r="D79" s="114"/>
      <c r="I79" s="106" t="str">
        <f t="shared" si="2"/>
        <v/>
      </c>
    </row>
    <row r="80">
      <c r="A80" s="114"/>
      <c r="B80" s="115" t="str">
        <f>IF(spese!A80="f",spese!B80,"")</f>
        <v/>
      </c>
      <c r="C80" s="116" t="str">
        <f>IF(spese!A80="f",spese!C80,"")</f>
        <v/>
      </c>
      <c r="D80" s="114"/>
      <c r="I80" s="106" t="str">
        <f t="shared" si="2"/>
        <v/>
      </c>
    </row>
    <row r="81">
      <c r="A81" s="114"/>
      <c r="B81" s="115" t="str">
        <f>IF(spese!A81="f",spese!B81,"")</f>
        <v/>
      </c>
      <c r="C81" s="116" t="str">
        <f>IF(spese!A81="f",spese!C81,"")</f>
        <v/>
      </c>
      <c r="D81" s="114"/>
      <c r="I81" s="106" t="str">
        <f t="shared" si="2"/>
        <v/>
      </c>
    </row>
    <row r="82">
      <c r="A82" s="114"/>
      <c r="B82" s="115" t="str">
        <f>IF(spese!A82="f",spese!B82,"")</f>
        <v/>
      </c>
      <c r="C82" s="116" t="str">
        <f>IF(spese!A82="f",spese!C82,"")</f>
        <v/>
      </c>
      <c r="D82" s="114"/>
      <c r="I82" s="106" t="str">
        <f t="shared" si="2"/>
        <v/>
      </c>
    </row>
    <row r="83">
      <c r="A83" s="114"/>
      <c r="B83" s="115" t="str">
        <f>IF(spese!A83="f",spese!B83,"")</f>
        <v/>
      </c>
      <c r="C83" s="116" t="str">
        <f>IF(spese!A83="f",spese!C83,"")</f>
        <v/>
      </c>
      <c r="D83" s="114"/>
      <c r="I83" s="106" t="str">
        <f t="shared" si="2"/>
        <v/>
      </c>
    </row>
    <row r="84">
      <c r="A84" s="114"/>
      <c r="B84" s="115" t="str">
        <f>IF(spese!A84="f",spese!B84,"")</f>
        <v/>
      </c>
      <c r="C84" s="116" t="str">
        <f>IF(spese!A84="f",spese!C84,"")</f>
        <v/>
      </c>
      <c r="D84" s="114"/>
      <c r="I84" s="106" t="str">
        <f t="shared" si="2"/>
        <v/>
      </c>
    </row>
    <row r="85">
      <c r="A85" s="114"/>
      <c r="B85" s="115" t="str">
        <f>IF(spese!A85="f",spese!B85,"")</f>
        <v/>
      </c>
      <c r="C85" s="116" t="str">
        <f>IF(spese!A85="f",spese!C85,"")</f>
        <v/>
      </c>
      <c r="D85" s="114"/>
      <c r="I85" s="106" t="str">
        <f t="shared" si="2"/>
        <v/>
      </c>
    </row>
    <row r="86">
      <c r="A86" s="114"/>
      <c r="B86" s="115" t="str">
        <f>IF(spese!A86="f",spese!B86,"")</f>
        <v/>
      </c>
      <c r="C86" s="116" t="str">
        <f>IF(spese!A86="f",spese!C86,"")</f>
        <v/>
      </c>
      <c r="D86" s="114"/>
      <c r="I86" s="106" t="str">
        <f t="shared" si="2"/>
        <v/>
      </c>
    </row>
    <row r="87">
      <c r="A87" s="114"/>
      <c r="B87" s="115" t="str">
        <f>IF(spese!A87="f",spese!B87,"")</f>
        <v/>
      </c>
      <c r="C87" s="116" t="str">
        <f>IF(spese!A87="f",spese!C87,"")</f>
        <v/>
      </c>
      <c r="D87" s="114"/>
      <c r="I87" s="106" t="str">
        <f t="shared" si="2"/>
        <v/>
      </c>
    </row>
    <row r="88">
      <c r="A88" s="114"/>
      <c r="B88" s="115" t="str">
        <f>IF(spese!A88="f",spese!B88,"")</f>
        <v/>
      </c>
      <c r="C88" s="116" t="str">
        <f>IF(spese!A88="f",spese!C88,"")</f>
        <v/>
      </c>
      <c r="D88" s="114"/>
      <c r="I88" s="106" t="str">
        <f t="shared" si="2"/>
        <v/>
      </c>
    </row>
    <row r="89">
      <c r="A89" s="114"/>
      <c r="B89" s="115" t="str">
        <f>IF(spese!A89="f",spese!B89,"")</f>
        <v/>
      </c>
      <c r="C89" s="116" t="str">
        <f>IF(spese!A89="f",spese!C89,"")</f>
        <v/>
      </c>
      <c r="D89" s="114"/>
      <c r="I89" s="106" t="str">
        <f t="shared" si="2"/>
        <v/>
      </c>
    </row>
    <row r="90">
      <c r="A90" s="114"/>
      <c r="B90" s="115" t="str">
        <f>IF(spese!A90="f",spese!B90,"")</f>
        <v/>
      </c>
      <c r="C90" s="116" t="str">
        <f>IF(spese!A90="f",spese!C90,"")</f>
        <v/>
      </c>
      <c r="D90" s="114"/>
      <c r="I90" s="106" t="str">
        <f t="shared" si="2"/>
        <v/>
      </c>
    </row>
    <row r="91">
      <c r="A91" s="114"/>
      <c r="B91" s="115" t="str">
        <f>IF(spese!A91="f",spese!B91,"")</f>
        <v/>
      </c>
      <c r="C91" s="116" t="str">
        <f>IF(spese!A91="f",spese!C91,"")</f>
        <v/>
      </c>
      <c r="D91" s="114"/>
      <c r="I91" s="106" t="str">
        <f t="shared" si="2"/>
        <v/>
      </c>
    </row>
    <row r="92">
      <c r="A92" s="114"/>
      <c r="B92" s="115" t="str">
        <f>IF(spese!A92="f",spese!B92,"")</f>
        <v/>
      </c>
      <c r="C92" s="116" t="str">
        <f>IF(spese!A92="f",spese!C92,"")</f>
        <v/>
      </c>
      <c r="D92" s="114"/>
      <c r="I92" s="106" t="str">
        <f t="shared" si="2"/>
        <v/>
      </c>
    </row>
    <row r="93">
      <c r="A93" s="114"/>
      <c r="B93" s="115" t="str">
        <f>IF(spese!A93="f",spese!B93,"")</f>
        <v/>
      </c>
      <c r="C93" s="116" t="str">
        <f>IF(spese!A93="f",spese!C93,"")</f>
        <v/>
      </c>
      <c r="D93" s="114"/>
      <c r="I93" s="106" t="str">
        <f t="shared" si="2"/>
        <v/>
      </c>
    </row>
    <row r="94">
      <c r="A94" s="114"/>
      <c r="B94" s="115" t="str">
        <f>IF(spese!A94="f",spese!B94,"")</f>
        <v/>
      </c>
      <c r="C94" s="116" t="str">
        <f>IF(spese!A94="f",spese!C94,"")</f>
        <v/>
      </c>
      <c r="D94" s="114"/>
      <c r="I94" s="106" t="str">
        <f t="shared" si="2"/>
        <v/>
      </c>
    </row>
    <row r="95">
      <c r="A95" s="114"/>
      <c r="B95" s="115" t="str">
        <f>IF(spese!A95="f",spese!B95,"")</f>
        <v/>
      </c>
      <c r="C95" s="116" t="str">
        <f>IF(spese!A95="f",spese!C95,"")</f>
        <v/>
      </c>
      <c r="D95" s="114"/>
      <c r="I95" s="106" t="str">
        <f t="shared" si="2"/>
        <v/>
      </c>
    </row>
    <row r="96">
      <c r="A96" s="114"/>
      <c r="B96" s="115" t="str">
        <f>IF(spese!A96="f",spese!B96,"")</f>
        <v/>
      </c>
      <c r="C96" s="116" t="str">
        <f>IF(spese!A96="f",spese!C96,"")</f>
        <v/>
      </c>
      <c r="D96" s="114"/>
      <c r="I96" s="106" t="str">
        <f t="shared" si="2"/>
        <v/>
      </c>
    </row>
    <row r="97">
      <c r="A97" s="114"/>
      <c r="B97" s="115" t="str">
        <f>IF(spese!A97="f",spese!B97,"")</f>
        <v/>
      </c>
      <c r="C97" s="116" t="str">
        <f>IF(spese!A97="f",spese!C97,"")</f>
        <v/>
      </c>
      <c r="D97" s="114"/>
      <c r="I97" s="106" t="str">
        <f t="shared" si="2"/>
        <v/>
      </c>
    </row>
    <row r="98">
      <c r="A98" s="114"/>
      <c r="B98" s="115" t="str">
        <f>IF(spese!A98="f",spese!B98,"")</f>
        <v/>
      </c>
      <c r="C98" s="116" t="str">
        <f>IF(spese!A98="f",spese!C98,"")</f>
        <v/>
      </c>
      <c r="D98" s="114"/>
      <c r="I98" s="106" t="str">
        <f t="shared" si="2"/>
        <v/>
      </c>
    </row>
    <row r="99">
      <c r="A99" s="114"/>
      <c r="B99" s="115" t="str">
        <f>IF(spese!A99="f",spese!B99,"")</f>
        <v/>
      </c>
      <c r="C99" s="116" t="str">
        <f>IF(spese!A99="f",spese!C99,"")</f>
        <v/>
      </c>
      <c r="D99" s="114"/>
      <c r="I99" s="106" t="str">
        <f t="shared" si="2"/>
        <v/>
      </c>
    </row>
    <row r="100">
      <c r="A100" s="114"/>
      <c r="B100" s="115" t="str">
        <f>IF(spese!A100="f",spese!B100,"")</f>
        <v/>
      </c>
      <c r="C100" s="116" t="str">
        <f>IF(spese!A100="f",spese!C100,"")</f>
        <v/>
      </c>
      <c r="D100" s="114"/>
      <c r="I100" s="106" t="str">
        <f t="shared" si="2"/>
        <v/>
      </c>
    </row>
    <row r="101">
      <c r="A101" s="114"/>
      <c r="B101" s="115" t="str">
        <f>IF(spese!A101="f",spese!B101,"")</f>
        <v/>
      </c>
      <c r="C101" s="116" t="str">
        <f>IF(spese!A101="f",spese!C101,"")</f>
        <v/>
      </c>
      <c r="D101" s="114"/>
      <c r="I101" s="106" t="str">
        <f t="shared" si="2"/>
        <v/>
      </c>
    </row>
    <row r="102">
      <c r="A102" s="114"/>
      <c r="B102" s="115" t="str">
        <f>IF(spese!A102="f",spese!B102,"")</f>
        <v/>
      </c>
      <c r="C102" s="116" t="str">
        <f>IF(spese!A102="f",spese!C102,"")</f>
        <v/>
      </c>
      <c r="D102" s="114"/>
      <c r="I102" s="106" t="str">
        <f t="shared" si="2"/>
        <v/>
      </c>
    </row>
    <row r="103">
      <c r="A103" s="114"/>
      <c r="B103" s="115" t="str">
        <f>IF(spese!A103="f",spese!B103,"")</f>
        <v/>
      </c>
      <c r="C103" s="116" t="str">
        <f>IF(spese!A103="f",spese!C103,"")</f>
        <v/>
      </c>
      <c r="D103" s="114"/>
      <c r="I103" s="106" t="str">
        <f t="shared" si="2"/>
        <v/>
      </c>
    </row>
    <row r="104">
      <c r="A104" s="114"/>
      <c r="B104" s="115" t="str">
        <f>IF(spese!A104="f",spese!B104,"")</f>
        <v/>
      </c>
      <c r="C104" s="116" t="str">
        <f>IF(spese!A104="f",spese!C104,"")</f>
        <v/>
      </c>
      <c r="D104" s="114"/>
      <c r="I104" s="106" t="str">
        <f t="shared" si="2"/>
        <v/>
      </c>
    </row>
    <row r="105">
      <c r="A105" s="114"/>
      <c r="B105" s="115" t="str">
        <f>IF(spese!A105="f",spese!B105,"")</f>
        <v/>
      </c>
      <c r="C105" s="116" t="str">
        <f>IF(spese!A105="f",spese!C105,"")</f>
        <v/>
      </c>
      <c r="D105" s="114"/>
      <c r="I105" s="106" t="str">
        <f t="shared" si="2"/>
        <v/>
      </c>
    </row>
    <row r="106">
      <c r="A106" s="114"/>
      <c r="B106" s="115" t="str">
        <f>IF(spese!A106="f",spese!B106,"")</f>
        <v/>
      </c>
      <c r="C106" s="116" t="str">
        <f>IF(spese!A106="f",spese!C106,"")</f>
        <v/>
      </c>
      <c r="D106" s="114"/>
      <c r="I106" s="106" t="str">
        <f t="shared" si="2"/>
        <v/>
      </c>
    </row>
    <row r="107">
      <c r="A107" s="114"/>
      <c r="B107" s="115" t="str">
        <f>IF(spese!A107="f",spese!B107,"")</f>
        <v/>
      </c>
      <c r="C107" s="116" t="str">
        <f>IF(spese!A107="f",spese!C107,"")</f>
        <v/>
      </c>
      <c r="D107" s="114"/>
      <c r="I107" s="106" t="str">
        <f t="shared" si="2"/>
        <v/>
      </c>
    </row>
    <row r="108">
      <c r="A108" s="114"/>
      <c r="B108" s="115" t="str">
        <f>IF(spese!A108="f",spese!B108,"")</f>
        <v/>
      </c>
      <c r="C108" s="116" t="str">
        <f>IF(spese!A108="f",spese!C108,"")</f>
        <v/>
      </c>
      <c r="D108" s="114"/>
      <c r="I108" s="106" t="str">
        <f t="shared" si="2"/>
        <v/>
      </c>
    </row>
    <row r="109">
      <c r="A109" s="114"/>
      <c r="B109" s="115" t="str">
        <f>IF(spese!A109="f",spese!B109,"")</f>
        <v/>
      </c>
      <c r="C109" s="116" t="str">
        <f>IF(spese!A109="f",spese!C109,"")</f>
        <v/>
      </c>
      <c r="D109" s="114"/>
      <c r="I109" s="106" t="str">
        <f t="shared" si="2"/>
        <v/>
      </c>
    </row>
    <row r="110">
      <c r="A110" s="114"/>
      <c r="B110" s="115" t="str">
        <f>IF(spese!A110="f",spese!B110,"")</f>
        <v/>
      </c>
      <c r="C110" s="116" t="str">
        <f>IF(spese!A110="f",spese!C110,"")</f>
        <v/>
      </c>
      <c r="D110" s="114"/>
      <c r="I110" s="106" t="str">
        <f t="shared" si="2"/>
        <v/>
      </c>
    </row>
    <row r="111">
      <c r="A111" s="114"/>
      <c r="B111" s="115" t="str">
        <f>IF(spese!A111="f",spese!B111,"")</f>
        <v/>
      </c>
      <c r="C111" s="116" t="str">
        <f>IF(spese!A111="f",spese!C111,"")</f>
        <v/>
      </c>
      <c r="D111" s="114"/>
      <c r="I111" s="106" t="str">
        <f t="shared" si="2"/>
        <v/>
      </c>
    </row>
    <row r="112">
      <c r="A112" s="114"/>
      <c r="B112" s="115" t="str">
        <f>IF(spese!A112="f",spese!B112,"")</f>
        <v/>
      </c>
      <c r="C112" s="116" t="str">
        <f>IF(spese!A112="f",spese!C112,"")</f>
        <v/>
      </c>
      <c r="D112" s="114"/>
      <c r="I112" s="106" t="str">
        <f t="shared" si="2"/>
        <v/>
      </c>
    </row>
    <row r="113">
      <c r="A113" s="114"/>
      <c r="B113" s="115" t="str">
        <f>IF(spese!A113="f",spese!B113,"")</f>
        <v/>
      </c>
      <c r="C113" s="116" t="str">
        <f>IF(spese!A113="f",spese!C113,"")</f>
        <v/>
      </c>
      <c r="D113" s="114"/>
      <c r="I113" s="106" t="str">
        <f t="shared" si="2"/>
        <v/>
      </c>
    </row>
    <row r="114">
      <c r="A114" s="114"/>
      <c r="B114" s="115" t="str">
        <f>IF(spese!A114="f",spese!B114,"")</f>
        <v/>
      </c>
      <c r="C114" s="116" t="str">
        <f>IF(spese!A114="f",spese!C114,"")</f>
        <v/>
      </c>
      <c r="D114" s="114"/>
      <c r="I114" s="106" t="str">
        <f t="shared" si="2"/>
        <v/>
      </c>
    </row>
    <row r="115">
      <c r="A115" s="114"/>
      <c r="B115" s="115" t="str">
        <f>IF(spese!A115="f",spese!B115,"")</f>
        <v/>
      </c>
      <c r="C115" s="116" t="str">
        <f>IF(spese!A115="f",spese!C115,"")</f>
        <v/>
      </c>
      <c r="D115" s="114"/>
      <c r="I115" s="106" t="str">
        <f t="shared" si="2"/>
        <v/>
      </c>
    </row>
    <row r="116">
      <c r="A116" s="114"/>
      <c r="B116" s="115" t="str">
        <f>IF(spese!A116="f",spese!B116,"")</f>
        <v/>
      </c>
      <c r="C116" s="116" t="str">
        <f>IF(spese!A116="f",spese!C116,"")</f>
        <v/>
      </c>
      <c r="D116" s="114"/>
      <c r="I116" s="106" t="str">
        <f t="shared" si="2"/>
        <v/>
      </c>
    </row>
    <row r="117">
      <c r="A117" s="114"/>
      <c r="B117" s="115" t="str">
        <f>IF(spese!A117="f",spese!B117,"")</f>
        <v/>
      </c>
      <c r="C117" s="116" t="str">
        <f>IF(spese!A117="f",spese!C117,"")</f>
        <v/>
      </c>
      <c r="D117" s="114"/>
      <c r="I117" s="106" t="str">
        <f t="shared" si="2"/>
        <v/>
      </c>
    </row>
    <row r="118">
      <c r="A118" s="114"/>
      <c r="B118" s="115" t="str">
        <f>IF(spese!A118="f",spese!B118,"")</f>
        <v/>
      </c>
      <c r="C118" s="116" t="str">
        <f>IF(spese!A118="f",spese!C118,"")</f>
        <v/>
      </c>
      <c r="D118" s="114"/>
      <c r="I118" s="106" t="str">
        <f t="shared" si="2"/>
        <v/>
      </c>
    </row>
    <row r="119">
      <c r="A119" s="114"/>
      <c r="B119" s="115" t="str">
        <f>IF(spese!A119="f",spese!B119,"")</f>
        <v/>
      </c>
      <c r="C119" s="116" t="str">
        <f>IF(spese!A119="f",spese!C119,"")</f>
        <v/>
      </c>
      <c r="D119" s="114"/>
      <c r="I119" s="106" t="str">
        <f t="shared" si="2"/>
        <v/>
      </c>
    </row>
    <row r="120">
      <c r="A120" s="114"/>
      <c r="B120" s="115" t="str">
        <f>IF(spese!A120="f",spese!B120,"")</f>
        <v/>
      </c>
      <c r="C120" s="116" t="str">
        <f>IF(spese!A120="f",spese!C120,"")</f>
        <v/>
      </c>
      <c r="D120" s="114"/>
      <c r="I120" s="106" t="str">
        <f t="shared" si="2"/>
        <v/>
      </c>
    </row>
    <row r="121">
      <c r="A121" s="114"/>
      <c r="B121" s="115" t="str">
        <f>IF(spese!A121="f",spese!B121,"")</f>
        <v/>
      </c>
      <c r="C121" s="116" t="str">
        <f>IF(spese!A121="f",spese!C121,"")</f>
        <v/>
      </c>
      <c r="D121" s="114"/>
      <c r="I121" s="106" t="str">
        <f t="shared" si="2"/>
        <v/>
      </c>
    </row>
    <row r="122">
      <c r="A122" s="114"/>
      <c r="B122" s="115" t="str">
        <f>IF(spese!A122="f",spese!B122,"")</f>
        <v/>
      </c>
      <c r="C122" s="116" t="str">
        <f>IF(spese!A122="f",spese!C122,"")</f>
        <v/>
      </c>
      <c r="D122" s="114"/>
      <c r="I122" s="106" t="str">
        <f t="shared" si="2"/>
        <v/>
      </c>
    </row>
    <row r="123">
      <c r="A123" s="114"/>
      <c r="B123" s="115" t="str">
        <f>IF(spese!A123="f",spese!B123,"")</f>
        <v/>
      </c>
      <c r="C123" s="116" t="str">
        <f>IF(spese!A123="f",spese!C123,"")</f>
        <v/>
      </c>
      <c r="D123" s="114"/>
      <c r="I123" s="106" t="str">
        <f t="shared" si="2"/>
        <v/>
      </c>
    </row>
    <row r="124">
      <c r="A124" s="114"/>
      <c r="B124" s="115" t="str">
        <f>IF(spese!A124="f",spese!B124,"")</f>
        <v/>
      </c>
      <c r="C124" s="116" t="str">
        <f>IF(spese!A124="f",spese!C124,"")</f>
        <v/>
      </c>
      <c r="D124" s="114"/>
      <c r="I124" s="106" t="str">
        <f t="shared" si="2"/>
        <v/>
      </c>
    </row>
    <row r="125">
      <c r="A125" s="114"/>
      <c r="B125" s="115" t="str">
        <f>IF(spese!A125="f",spese!B125,"")</f>
        <v/>
      </c>
      <c r="C125" s="116" t="str">
        <f>IF(spese!A125="f",spese!C125,"")</f>
        <v/>
      </c>
      <c r="D125" s="114"/>
      <c r="I125" s="106" t="str">
        <f t="shared" si="2"/>
        <v/>
      </c>
    </row>
    <row r="126">
      <c r="A126" s="114"/>
      <c r="B126" s="115" t="str">
        <f>IF(spese!A126="f",spese!B126,"")</f>
        <v/>
      </c>
      <c r="C126" s="116" t="str">
        <f>IF(spese!A126="f",spese!C126,"")</f>
        <v/>
      </c>
      <c r="D126" s="114"/>
      <c r="I126" s="106" t="str">
        <f t="shared" si="2"/>
        <v/>
      </c>
    </row>
    <row r="127">
      <c r="A127" s="114"/>
      <c r="B127" s="115" t="str">
        <f>IF(spese!A127="f",spese!B127,"")</f>
        <v/>
      </c>
      <c r="C127" s="116" t="str">
        <f>IF(spese!A127="f",spese!C127,"")</f>
        <v/>
      </c>
      <c r="D127" s="114"/>
      <c r="I127" s="106" t="str">
        <f t="shared" si="2"/>
        <v/>
      </c>
    </row>
    <row r="128">
      <c r="A128" s="114"/>
      <c r="B128" s="115" t="str">
        <f>IF(spese!A128="f",spese!B128,"")</f>
        <v/>
      </c>
      <c r="C128" s="116" t="str">
        <f>IF(spese!A128="f",spese!C128,"")</f>
        <v/>
      </c>
      <c r="D128" s="114"/>
      <c r="I128" s="106" t="str">
        <f t="shared" si="2"/>
        <v/>
      </c>
    </row>
    <row r="129">
      <c r="A129" s="114"/>
      <c r="B129" s="115" t="str">
        <f>IF(spese!A129="f",spese!B129,"")</f>
        <v/>
      </c>
      <c r="C129" s="116" t="str">
        <f>IF(spese!A129="f",spese!C129,"")</f>
        <v/>
      </c>
      <c r="D129" s="114"/>
      <c r="I129" s="106" t="str">
        <f t="shared" si="2"/>
        <v/>
      </c>
    </row>
    <row r="130">
      <c r="A130" s="114"/>
      <c r="B130" s="115" t="str">
        <f>IF(spese!A130="f",spese!B130,"")</f>
        <v/>
      </c>
      <c r="C130" s="116" t="str">
        <f>IF(spese!A130="f",spese!C130,"")</f>
        <v/>
      </c>
      <c r="D130" s="114"/>
      <c r="I130" s="106" t="str">
        <f t="shared" si="2"/>
        <v/>
      </c>
    </row>
    <row r="131">
      <c r="A131" s="114"/>
      <c r="B131" s="115" t="str">
        <f>IF(spese!A131="f",spese!B131,"")</f>
        <v/>
      </c>
      <c r="C131" s="116" t="str">
        <f>IF(spese!A131="f",spese!C131,"")</f>
        <v/>
      </c>
      <c r="D131" s="114"/>
      <c r="I131" s="106" t="str">
        <f t="shared" si="2"/>
        <v/>
      </c>
    </row>
    <row r="132">
      <c r="A132" s="114"/>
      <c r="B132" s="115" t="str">
        <f>IF(spese!A132="f",spese!B132,"")</f>
        <v/>
      </c>
      <c r="C132" s="116" t="str">
        <f>IF(spese!A132="f",spese!C132,"")</f>
        <v/>
      </c>
      <c r="D132" s="114"/>
      <c r="I132" s="106" t="str">
        <f t="shared" si="2"/>
        <v/>
      </c>
    </row>
    <row r="133">
      <c r="A133" s="114"/>
      <c r="B133" s="115" t="str">
        <f>IF(spese!A133="f",spese!B133,"")</f>
        <v/>
      </c>
      <c r="C133" s="116" t="str">
        <f>IF(spese!A133="f",spese!C133,"")</f>
        <v/>
      </c>
      <c r="D133" s="114"/>
      <c r="I133" s="106" t="str">
        <f t="shared" si="2"/>
        <v/>
      </c>
    </row>
    <row r="134">
      <c r="A134" s="114"/>
      <c r="B134" s="115" t="str">
        <f>IF(spese!A134="f",spese!B134,"")</f>
        <v/>
      </c>
      <c r="C134" s="116" t="str">
        <f>IF(spese!A134="f",spese!C134,"")</f>
        <v/>
      </c>
      <c r="D134" s="114"/>
      <c r="I134" s="106" t="str">
        <f t="shared" si="2"/>
        <v/>
      </c>
    </row>
    <row r="135">
      <c r="A135" s="114"/>
      <c r="B135" s="115" t="str">
        <f>IF(spese!A135="f",spese!B135,"")</f>
        <v/>
      </c>
      <c r="C135" s="116" t="str">
        <f>IF(spese!A135="f",spese!C135,"")</f>
        <v/>
      </c>
      <c r="D135" s="114"/>
      <c r="I135" s="106" t="str">
        <f t="shared" si="2"/>
        <v/>
      </c>
    </row>
    <row r="136">
      <c r="A136" s="114"/>
      <c r="B136" s="115" t="str">
        <f>IF(spese!A136="f",spese!B136,"")</f>
        <v/>
      </c>
      <c r="C136" s="116" t="str">
        <f>IF(spese!A136="f",spese!C136,"")</f>
        <v/>
      </c>
      <c r="D136" s="114"/>
      <c r="I136" s="106" t="str">
        <f t="shared" si="2"/>
        <v/>
      </c>
    </row>
    <row r="137">
      <c r="A137" s="114"/>
      <c r="B137" s="115" t="str">
        <f>IF(spese!A137="f",spese!B137,"")</f>
        <v/>
      </c>
      <c r="C137" s="116" t="str">
        <f>IF(spese!A137="f",spese!C137,"")</f>
        <v/>
      </c>
      <c r="D137" s="114"/>
      <c r="I137" s="106" t="str">
        <f t="shared" si="2"/>
        <v/>
      </c>
    </row>
    <row r="138">
      <c r="A138" s="114"/>
      <c r="B138" s="115" t="str">
        <f>IF(spese!A138="f",spese!B138,"")</f>
        <v/>
      </c>
      <c r="C138" s="116" t="str">
        <f>IF(spese!A138="f",spese!C138,"")</f>
        <v/>
      </c>
      <c r="D138" s="114"/>
      <c r="I138" s="106" t="str">
        <f t="shared" si="2"/>
        <v/>
      </c>
    </row>
    <row r="139">
      <c r="A139" s="114"/>
      <c r="B139" s="115" t="str">
        <f>IF(spese!A139="f",spese!B139,"")</f>
        <v/>
      </c>
      <c r="C139" s="116" t="str">
        <f>IF(spese!A139="f",spese!C139,"")</f>
        <v/>
      </c>
      <c r="D139" s="114"/>
      <c r="I139" s="106" t="str">
        <f t="shared" si="2"/>
        <v/>
      </c>
    </row>
    <row r="140">
      <c r="A140" s="114"/>
      <c r="B140" s="115" t="str">
        <f>IF(spese!A140="f",spese!B140,"")</f>
        <v/>
      </c>
      <c r="C140" s="116" t="str">
        <f>IF(spese!A140="f",spese!C140,"")</f>
        <v/>
      </c>
      <c r="D140" s="114"/>
      <c r="I140" s="106" t="str">
        <f t="shared" si="2"/>
        <v/>
      </c>
    </row>
    <row r="141">
      <c r="A141" s="114"/>
      <c r="B141" s="115" t="str">
        <f>IF(spese!A141="f",spese!B141,"")</f>
        <v/>
      </c>
      <c r="C141" s="116" t="str">
        <f>IF(spese!A141="f",spese!C141,"")</f>
        <v/>
      </c>
      <c r="D141" s="114"/>
      <c r="I141" s="106" t="str">
        <f t="shared" si="2"/>
        <v/>
      </c>
    </row>
    <row r="142">
      <c r="A142" s="114"/>
      <c r="B142" s="115" t="str">
        <f>IF(spese!A142="f",spese!B142,"")</f>
        <v/>
      </c>
      <c r="C142" s="116" t="str">
        <f>IF(spese!A142="f",spese!C142,"")</f>
        <v/>
      </c>
      <c r="D142" s="114"/>
      <c r="I142" s="106" t="str">
        <f t="shared" si="2"/>
        <v/>
      </c>
    </row>
    <row r="143">
      <c r="A143" s="114"/>
      <c r="B143" s="115" t="str">
        <f>IF(spese!A143="f",spese!B143,"")</f>
        <v/>
      </c>
      <c r="C143" s="116" t="str">
        <f>IF(spese!A143="f",spese!C143,"")</f>
        <v/>
      </c>
      <c r="D143" s="114"/>
      <c r="I143" s="106" t="str">
        <f t="shared" si="2"/>
        <v/>
      </c>
    </row>
    <row r="144">
      <c r="A144" s="114"/>
      <c r="B144" s="115" t="str">
        <f>IF(spese!A144="f",spese!B144,"")</f>
        <v/>
      </c>
      <c r="C144" s="116" t="str">
        <f>IF(spese!A144="f",spese!C144,"")</f>
        <v/>
      </c>
      <c r="D144" s="114"/>
      <c r="I144" s="106" t="str">
        <f t="shared" si="2"/>
        <v/>
      </c>
    </row>
    <row r="145">
      <c r="A145" s="114"/>
      <c r="B145" s="115" t="str">
        <f>IF(spese!A145="f",spese!B145,"")</f>
        <v/>
      </c>
      <c r="C145" s="116" t="str">
        <f>IF(spese!A145="f",spese!C145,"")</f>
        <v/>
      </c>
      <c r="D145" s="114"/>
      <c r="I145" s="106" t="str">
        <f t="shared" si="2"/>
        <v/>
      </c>
    </row>
    <row r="146">
      <c r="A146" s="114"/>
      <c r="B146" s="115" t="str">
        <f>IF(spese!A146="f",spese!B146,"")</f>
        <v/>
      </c>
      <c r="C146" s="116" t="str">
        <f>IF(spese!A146="f",spese!C146,"")</f>
        <v/>
      </c>
      <c r="D146" s="114"/>
      <c r="I146" s="106" t="str">
        <f t="shared" si="2"/>
        <v/>
      </c>
    </row>
    <row r="147">
      <c r="A147" s="114"/>
      <c r="B147" s="115" t="str">
        <f>IF(spese!A147="f",spese!B147,"")</f>
        <v/>
      </c>
      <c r="C147" s="116" t="str">
        <f>IF(spese!A147="f",spese!C147,"")</f>
        <v/>
      </c>
      <c r="D147" s="114"/>
      <c r="I147" s="106" t="str">
        <f t="shared" si="2"/>
        <v/>
      </c>
    </row>
    <row r="148">
      <c r="A148" s="114"/>
      <c r="B148" s="115" t="str">
        <f>IF(spese!A148="f",spese!B148,"")</f>
        <v/>
      </c>
      <c r="C148" s="116" t="str">
        <f>IF(spese!A148="f",spese!C148,"")</f>
        <v/>
      </c>
      <c r="D148" s="114"/>
      <c r="I148" s="106" t="str">
        <f t="shared" si="2"/>
        <v/>
      </c>
    </row>
    <row r="149">
      <c r="A149" s="114"/>
      <c r="B149" s="115" t="str">
        <f>IF(spese!A149="f",spese!B149,"")</f>
        <v/>
      </c>
      <c r="C149" s="116" t="str">
        <f>IF(spese!A149="f",spese!C149,"")</f>
        <v/>
      </c>
      <c r="D149" s="114"/>
      <c r="I149" s="106" t="str">
        <f t="shared" si="2"/>
        <v/>
      </c>
    </row>
    <row r="150">
      <c r="A150" s="114"/>
      <c r="B150" s="115" t="str">
        <f>IF(spese!A150="f",spese!B150,"")</f>
        <v/>
      </c>
      <c r="C150" s="116" t="str">
        <f>IF(spese!A150="f",spese!C150,"")</f>
        <v/>
      </c>
      <c r="D150" s="114"/>
      <c r="I150" s="106" t="str">
        <f t="shared" si="2"/>
        <v/>
      </c>
    </row>
    <row r="151">
      <c r="A151" s="114"/>
      <c r="B151" s="115" t="str">
        <f>IF(spese!A151="f",spese!B151,"")</f>
        <v/>
      </c>
      <c r="C151" s="116" t="str">
        <f>IF(spese!A151="f",spese!C151,"")</f>
        <v/>
      </c>
      <c r="D151" s="114"/>
      <c r="I151" s="106" t="str">
        <f t="shared" si="2"/>
        <v/>
      </c>
    </row>
    <row r="152">
      <c r="A152" s="114"/>
      <c r="B152" s="115" t="str">
        <f>IF(spese!A152="f",spese!B152,"")</f>
        <v/>
      </c>
      <c r="C152" s="116" t="str">
        <f>IF(spese!A152="f",spese!C152,"")</f>
        <v/>
      </c>
      <c r="D152" s="114"/>
      <c r="I152" s="106" t="str">
        <f t="shared" si="2"/>
        <v/>
      </c>
    </row>
    <row r="153">
      <c r="A153" s="114"/>
      <c r="B153" s="115" t="str">
        <f>IF(spese!A153="f",spese!B153,"")</f>
        <v/>
      </c>
      <c r="C153" s="116" t="str">
        <f>IF(spese!A153="f",spese!C153,"")</f>
        <v/>
      </c>
      <c r="D153" s="114"/>
      <c r="I153" s="106" t="str">
        <f t="shared" si="2"/>
        <v/>
      </c>
    </row>
    <row r="154">
      <c r="A154" s="114"/>
      <c r="B154" s="115" t="str">
        <f>IF(spese!A154="f",spese!B154,"")</f>
        <v/>
      </c>
      <c r="C154" s="116" t="str">
        <f>IF(spese!A154="f",spese!C154,"")</f>
        <v/>
      </c>
      <c r="D154" s="114"/>
      <c r="I154" s="106" t="str">
        <f t="shared" si="2"/>
        <v/>
      </c>
    </row>
    <row r="155">
      <c r="A155" s="114"/>
      <c r="B155" s="115" t="str">
        <f>IF(spese!A155="f",spese!B155,"")</f>
        <v/>
      </c>
      <c r="C155" s="116" t="str">
        <f>IF(spese!A155="f",spese!C155,"")</f>
        <v/>
      </c>
      <c r="D155" s="114"/>
      <c r="I155" s="106" t="str">
        <f t="shared" si="2"/>
        <v/>
      </c>
    </row>
    <row r="156">
      <c r="A156" s="114"/>
      <c r="B156" s="115" t="str">
        <f>IF(spese!A156="f",spese!B156,"")</f>
        <v/>
      </c>
      <c r="C156" s="116" t="str">
        <f>IF(spese!A156="f",spese!C156,"")</f>
        <v/>
      </c>
      <c r="D156" s="114"/>
      <c r="I156" s="106" t="str">
        <f t="shared" si="2"/>
        <v/>
      </c>
    </row>
    <row r="157">
      <c r="A157" s="114"/>
      <c r="B157" s="115" t="str">
        <f>IF(spese!A157="f",spese!B157,"")</f>
        <v/>
      </c>
      <c r="C157" s="116" t="str">
        <f>IF(spese!A157="f",spese!C157,"")</f>
        <v/>
      </c>
      <c r="D157" s="114"/>
      <c r="I157" s="106" t="str">
        <f t="shared" si="2"/>
        <v/>
      </c>
    </row>
    <row r="158">
      <c r="A158" s="114"/>
      <c r="B158" s="115" t="str">
        <f>IF(spese!A158="f",spese!B158,"")</f>
        <v/>
      </c>
      <c r="C158" s="116" t="str">
        <f>IF(spese!A158="f",spese!C158,"")</f>
        <v/>
      </c>
      <c r="D158" s="114"/>
      <c r="I158" s="106" t="str">
        <f t="shared" si="2"/>
        <v/>
      </c>
    </row>
    <row r="159">
      <c r="A159" s="114"/>
      <c r="B159" s="115" t="str">
        <f>IF(spese!A159="f",spese!B159,"")</f>
        <v/>
      </c>
      <c r="C159" s="116" t="str">
        <f>IF(spese!A159="f",spese!C159,"")</f>
        <v/>
      </c>
      <c r="D159" s="114"/>
      <c r="I159" s="106" t="str">
        <f t="shared" si="2"/>
        <v/>
      </c>
    </row>
    <row r="160">
      <c r="A160" s="114"/>
      <c r="B160" s="115" t="str">
        <f>IF(spese!A160="f",spese!B160,"")</f>
        <v/>
      </c>
      <c r="C160" s="116" t="str">
        <f>IF(spese!A160="f",spese!C160,"")</f>
        <v/>
      </c>
      <c r="D160" s="114"/>
      <c r="I160" s="106" t="str">
        <f t="shared" si="2"/>
        <v/>
      </c>
    </row>
    <row r="161">
      <c r="A161" s="114"/>
      <c r="B161" s="115" t="str">
        <f>IF(spese!A161="f",spese!B161,"")</f>
        <v/>
      </c>
      <c r="C161" s="116" t="str">
        <f>IF(spese!A161="f",spese!C161,"")</f>
        <v/>
      </c>
      <c r="D161" s="114"/>
      <c r="I161" s="106" t="str">
        <f t="shared" si="2"/>
        <v/>
      </c>
    </row>
    <row r="162">
      <c r="A162" s="114"/>
      <c r="B162" s="115" t="str">
        <f>IF(spese!A162="f",spese!B162,"")</f>
        <v/>
      </c>
      <c r="C162" s="116" t="str">
        <f>IF(spese!A162="f",spese!C162,"")</f>
        <v/>
      </c>
      <c r="D162" s="114"/>
      <c r="I162" s="106" t="str">
        <f t="shared" si="2"/>
        <v/>
      </c>
    </row>
    <row r="163">
      <c r="A163" s="114"/>
      <c r="B163" s="115" t="str">
        <f>IF(spese!A163="f",spese!B163,"")</f>
        <v/>
      </c>
      <c r="C163" s="116" t="str">
        <f>IF(spese!A163="f",spese!C163,"")</f>
        <v/>
      </c>
      <c r="D163" s="114"/>
      <c r="I163" s="106" t="str">
        <f t="shared" si="2"/>
        <v/>
      </c>
    </row>
    <row r="164">
      <c r="A164" s="114"/>
      <c r="B164" s="115" t="str">
        <f>IF(spese!A164="f",spese!B164,"")</f>
        <v/>
      </c>
      <c r="C164" s="116" t="str">
        <f>IF(spese!A164="f",spese!C164,"")</f>
        <v/>
      </c>
      <c r="D164" s="114"/>
      <c r="I164" s="106" t="str">
        <f t="shared" si="2"/>
        <v/>
      </c>
    </row>
    <row r="165">
      <c r="A165" s="114"/>
      <c r="B165" s="115" t="str">
        <f>IF(spese!A165="f",spese!B165,"")</f>
        <v/>
      </c>
      <c r="C165" s="116" t="str">
        <f>IF(spese!A165="f",spese!C165,"")</f>
        <v/>
      </c>
      <c r="D165" s="114"/>
      <c r="I165" s="106" t="str">
        <f t="shared" si="2"/>
        <v/>
      </c>
    </row>
    <row r="166">
      <c r="A166" s="114"/>
      <c r="B166" s="115" t="str">
        <f>IF(spese!A166="f",spese!B166,"")</f>
        <v/>
      </c>
      <c r="C166" s="116" t="str">
        <f>IF(spese!A166="f",spese!C166,"")</f>
        <v/>
      </c>
      <c r="D166" s="114"/>
      <c r="I166" s="106" t="str">
        <f t="shared" si="2"/>
        <v/>
      </c>
    </row>
    <row r="167">
      <c r="A167" s="114"/>
      <c r="B167" s="115" t="str">
        <f>IF(spese!A167="f",spese!B167,"")</f>
        <v/>
      </c>
      <c r="C167" s="116" t="str">
        <f>IF(spese!A167="f",spese!C167,"")</f>
        <v/>
      </c>
      <c r="D167" s="114"/>
      <c r="I167" s="106" t="str">
        <f t="shared" si="2"/>
        <v/>
      </c>
    </row>
    <row r="168">
      <c r="A168" s="114"/>
      <c r="B168" s="115" t="str">
        <f>IF(spese!A168="f",spese!B168,"")</f>
        <v/>
      </c>
      <c r="C168" s="116" t="str">
        <f>IF(spese!A168="f",spese!C168,"")</f>
        <v/>
      </c>
      <c r="D168" s="114"/>
      <c r="I168" s="106" t="str">
        <f t="shared" si="2"/>
        <v/>
      </c>
    </row>
    <row r="169">
      <c r="A169" s="114"/>
      <c r="B169" s="115" t="str">
        <f>IF(spese!A169="f",spese!B169,"")</f>
        <v/>
      </c>
      <c r="C169" s="116" t="str">
        <f>IF(spese!A169="f",spese!C169,"")</f>
        <v/>
      </c>
      <c r="D169" s="114"/>
      <c r="I169" s="106" t="str">
        <f t="shared" si="2"/>
        <v/>
      </c>
    </row>
    <row r="170">
      <c r="A170" s="114"/>
      <c r="B170" s="115" t="str">
        <f>IF(spese!A170="f",spese!B170,"")</f>
        <v/>
      </c>
      <c r="C170" s="116" t="str">
        <f>IF(spese!A170="f",spese!C170,"")</f>
        <v/>
      </c>
      <c r="D170" s="114"/>
      <c r="I170" s="106" t="str">
        <f t="shared" si="2"/>
        <v/>
      </c>
    </row>
    <row r="171">
      <c r="A171" s="114"/>
      <c r="B171" s="115" t="str">
        <f>IF(spese!A171="f",spese!B171,"")</f>
        <v/>
      </c>
      <c r="C171" s="116" t="str">
        <f>IF(spese!A171="f",spese!C171,"")</f>
        <v/>
      </c>
      <c r="D171" s="114"/>
      <c r="I171" s="106" t="str">
        <f t="shared" si="2"/>
        <v/>
      </c>
    </row>
    <row r="172">
      <c r="A172" s="114"/>
      <c r="B172" s="115" t="str">
        <f>IF(spese!A172="f",spese!B172,"")</f>
        <v/>
      </c>
      <c r="C172" s="116" t="str">
        <f>IF(spese!A172="f",spese!C172,"")</f>
        <v/>
      </c>
      <c r="D172" s="114"/>
      <c r="I172" s="106" t="str">
        <f t="shared" si="2"/>
        <v/>
      </c>
    </row>
    <row r="173">
      <c r="A173" s="114"/>
      <c r="B173" s="115" t="str">
        <f>IF(spese!A173="f",spese!B173,"")</f>
        <v/>
      </c>
      <c r="C173" s="116" t="str">
        <f>IF(spese!A173="f",spese!C173,"")</f>
        <v/>
      </c>
      <c r="D173" s="114"/>
      <c r="I173" s="106" t="str">
        <f t="shared" si="2"/>
        <v/>
      </c>
    </row>
    <row r="174">
      <c r="A174" s="114"/>
      <c r="B174" s="115" t="str">
        <f>IF(spese!A174="f",spese!B174,"")</f>
        <v/>
      </c>
      <c r="C174" s="116" t="str">
        <f>IF(spese!A174="f",spese!C174,"")</f>
        <v/>
      </c>
      <c r="D174" s="114"/>
      <c r="I174" s="106" t="str">
        <f t="shared" si="2"/>
        <v/>
      </c>
    </row>
    <row r="175">
      <c r="A175" s="114"/>
      <c r="B175" s="115" t="str">
        <f>IF(spese!A175="f",spese!B175,"")</f>
        <v/>
      </c>
      <c r="C175" s="116" t="str">
        <f>IF(spese!A175="f",spese!C175,"")</f>
        <v/>
      </c>
      <c r="D175" s="114"/>
      <c r="I175" s="106" t="str">
        <f t="shared" si="2"/>
        <v/>
      </c>
    </row>
    <row r="176">
      <c r="A176" s="114"/>
      <c r="B176" s="115" t="str">
        <f>IF(spese!A176="f",spese!B176,"")</f>
        <v/>
      </c>
      <c r="C176" s="116" t="str">
        <f>IF(spese!A176="f",spese!C176,"")</f>
        <v/>
      </c>
      <c r="D176" s="114"/>
      <c r="I176" s="106" t="str">
        <f t="shared" si="2"/>
        <v/>
      </c>
    </row>
    <row r="177">
      <c r="A177" s="114"/>
      <c r="B177" s="115" t="str">
        <f>IF(spese!A177="f",spese!B177,"")</f>
        <v/>
      </c>
      <c r="C177" s="116" t="str">
        <f>IF(spese!A177="f",spese!C177,"")</f>
        <v/>
      </c>
      <c r="D177" s="114"/>
      <c r="I177" s="106" t="str">
        <f t="shared" si="2"/>
        <v/>
      </c>
    </row>
    <row r="178">
      <c r="A178" s="114"/>
      <c r="B178" s="115" t="str">
        <f>IF(spese!A178="f",spese!B178,"")</f>
        <v/>
      </c>
      <c r="C178" s="116" t="str">
        <f>IF(spese!A178="f",spese!C178,"")</f>
        <v/>
      </c>
      <c r="D178" s="114"/>
      <c r="I178" s="106" t="str">
        <f t="shared" si="2"/>
        <v/>
      </c>
    </row>
    <row r="179">
      <c r="A179" s="114"/>
      <c r="B179" s="115" t="str">
        <f>IF(spese!A179="f",spese!B179,"")</f>
        <v/>
      </c>
      <c r="C179" s="116" t="str">
        <f>IF(spese!A179="f",spese!C179,"")</f>
        <v/>
      </c>
      <c r="D179" s="114"/>
      <c r="I179" s="106" t="str">
        <f t="shared" si="2"/>
        <v/>
      </c>
    </row>
    <row r="180">
      <c r="A180" s="114"/>
      <c r="B180" s="115" t="str">
        <f>IF(spese!A180="f",spese!B180,"")</f>
        <v/>
      </c>
      <c r="C180" s="116" t="str">
        <f>IF(spese!A180="f",spese!C180,"")</f>
        <v/>
      </c>
      <c r="D180" s="114"/>
      <c r="I180" s="106" t="str">
        <f t="shared" si="2"/>
        <v/>
      </c>
    </row>
    <row r="181">
      <c r="A181" s="114"/>
      <c r="B181" s="115" t="str">
        <f>IF(spese!A181="f",spese!B181,"")</f>
        <v/>
      </c>
      <c r="C181" s="116" t="str">
        <f>IF(spese!A181="f",spese!C181,"")</f>
        <v/>
      </c>
      <c r="D181" s="114"/>
      <c r="I181" s="106" t="str">
        <f t="shared" si="2"/>
        <v/>
      </c>
    </row>
    <row r="182">
      <c r="A182" s="114"/>
      <c r="B182" s="115" t="str">
        <f>IF(spese!A182="f",spese!B182,"")</f>
        <v/>
      </c>
      <c r="C182" s="116" t="str">
        <f>IF(spese!A182="f",spese!C182,"")</f>
        <v/>
      </c>
      <c r="D182" s="114"/>
      <c r="I182" s="106" t="str">
        <f t="shared" si="2"/>
        <v/>
      </c>
    </row>
    <row r="183">
      <c r="A183" s="114"/>
      <c r="B183" s="115" t="str">
        <f>IF(spese!A183="f",spese!B183,"")</f>
        <v/>
      </c>
      <c r="C183" s="116" t="str">
        <f>IF(spese!A183="f",spese!C183,"")</f>
        <v/>
      </c>
      <c r="D183" s="114"/>
      <c r="I183" s="106" t="str">
        <f t="shared" si="2"/>
        <v/>
      </c>
    </row>
    <row r="184">
      <c r="A184" s="114"/>
      <c r="B184" s="115" t="str">
        <f>IF(spese!A184="f",spese!B184,"")</f>
        <v/>
      </c>
      <c r="C184" s="116" t="str">
        <f>IF(spese!A184="f",spese!C184,"")</f>
        <v/>
      </c>
      <c r="D184" s="114"/>
      <c r="I184" s="106" t="str">
        <f t="shared" si="2"/>
        <v/>
      </c>
    </row>
    <row r="185">
      <c r="A185" s="114"/>
      <c r="B185" s="115" t="str">
        <f>IF(spese!A185="f",spese!B185,"")</f>
        <v/>
      </c>
      <c r="C185" s="116" t="str">
        <f>IF(spese!A185="f",spese!C185,"")</f>
        <v/>
      </c>
      <c r="D185" s="114"/>
      <c r="I185" s="106" t="str">
        <f t="shared" si="2"/>
        <v/>
      </c>
    </row>
    <row r="186">
      <c r="A186" s="114"/>
      <c r="B186" s="115" t="str">
        <f>IF(spese!A186="f",spese!B186,"")</f>
        <v/>
      </c>
      <c r="C186" s="116" t="str">
        <f>IF(spese!A186="f",spese!C186,"")</f>
        <v/>
      </c>
      <c r="D186" s="114"/>
      <c r="I186" s="106" t="str">
        <f t="shared" si="2"/>
        <v/>
      </c>
    </row>
    <row r="187">
      <c r="A187" s="114"/>
      <c r="B187" s="115" t="str">
        <f>IF(spese!A187="f",spese!B187,"")</f>
        <v/>
      </c>
      <c r="C187" s="116" t="str">
        <f>IF(spese!A187="f",spese!C187,"")</f>
        <v/>
      </c>
      <c r="D187" s="114"/>
      <c r="I187" s="106" t="str">
        <f t="shared" si="2"/>
        <v/>
      </c>
    </row>
    <row r="188">
      <c r="A188" s="114"/>
      <c r="B188" s="115" t="str">
        <f>IF(spese!A188="f",spese!B188,"")</f>
        <v/>
      </c>
      <c r="C188" s="116" t="str">
        <f>IF(spese!A188="f",spese!C188,"")</f>
        <v/>
      </c>
      <c r="D188" s="114"/>
      <c r="I188" s="106" t="str">
        <f t="shared" si="2"/>
        <v/>
      </c>
    </row>
    <row r="189">
      <c r="A189" s="114"/>
      <c r="B189" s="115" t="str">
        <f>IF(spese!A189="f",spese!B189,"")</f>
        <v/>
      </c>
      <c r="C189" s="116" t="str">
        <f>IF(spese!A189="f",spese!C189,"")</f>
        <v/>
      </c>
      <c r="D189" s="114"/>
      <c r="I189" s="106" t="str">
        <f t="shared" si="2"/>
        <v/>
      </c>
    </row>
    <row r="190">
      <c r="A190" s="114"/>
      <c r="B190" s="115" t="str">
        <f>IF(spese!A190="f",spese!B190,"")</f>
        <v/>
      </c>
      <c r="C190" s="116" t="str">
        <f>IF(spese!A190="f",spese!C190,"")</f>
        <v/>
      </c>
      <c r="D190" s="114"/>
      <c r="I190" s="106" t="str">
        <f t="shared" si="2"/>
        <v/>
      </c>
    </row>
    <row r="191">
      <c r="A191" s="114"/>
      <c r="B191" s="115" t="str">
        <f>IF(spese!A191="f",spese!B191,"")</f>
        <v/>
      </c>
      <c r="C191" s="116" t="str">
        <f>IF(spese!A191="f",spese!C191,"")</f>
        <v/>
      </c>
      <c r="D191" s="114"/>
      <c r="I191" s="106" t="str">
        <f t="shared" si="2"/>
        <v/>
      </c>
    </row>
    <row r="192">
      <c r="A192" s="114"/>
      <c r="B192" s="115" t="str">
        <f>IF(spese!A192="f",spese!B192,"")</f>
        <v/>
      </c>
      <c r="C192" s="116" t="str">
        <f>IF(spese!A192="f",spese!C192,"")</f>
        <v/>
      </c>
      <c r="D192" s="114"/>
      <c r="I192" s="106" t="str">
        <f t="shared" si="2"/>
        <v/>
      </c>
    </row>
    <row r="193">
      <c r="A193" s="114"/>
      <c r="B193" s="115" t="str">
        <f>IF(spese!A193="f",spese!B193,"")</f>
        <v/>
      </c>
      <c r="C193" s="116" t="str">
        <f>IF(spese!A193="f",spese!C193,"")</f>
        <v/>
      </c>
      <c r="D193" s="114"/>
      <c r="I193" s="106" t="str">
        <f t="shared" si="2"/>
        <v/>
      </c>
    </row>
    <row r="194">
      <c r="A194" s="114"/>
      <c r="B194" s="115" t="str">
        <f>IF(spese!A194="f",spese!B194,"")</f>
        <v/>
      </c>
      <c r="C194" s="116" t="str">
        <f>IF(spese!A194="f",spese!C194,"")</f>
        <v/>
      </c>
      <c r="D194" s="114"/>
      <c r="I194" s="106" t="str">
        <f t="shared" si="2"/>
        <v/>
      </c>
    </row>
    <row r="195">
      <c r="A195" s="114"/>
      <c r="B195" s="115" t="str">
        <f>IF(spese!A195="f",spese!B195,"")</f>
        <v/>
      </c>
      <c r="C195" s="116" t="str">
        <f>IF(spese!A195="f",spese!C195,"")</f>
        <v/>
      </c>
      <c r="D195" s="114"/>
      <c r="I195" s="106" t="str">
        <f t="shared" si="2"/>
        <v/>
      </c>
    </row>
    <row r="196">
      <c r="A196" s="114"/>
      <c r="B196" s="115" t="str">
        <f>IF(spese!A196="f",spese!B196,"")</f>
        <v/>
      </c>
      <c r="C196" s="116" t="str">
        <f>IF(spese!A196="f",spese!C196,"")</f>
        <v/>
      </c>
      <c r="D196" s="114"/>
      <c r="I196" s="106" t="str">
        <f t="shared" si="2"/>
        <v/>
      </c>
    </row>
    <row r="197">
      <c r="A197" s="114"/>
      <c r="B197" s="115" t="str">
        <f>IF(spese!A197="f",spese!B197,"")</f>
        <v/>
      </c>
      <c r="C197" s="116" t="str">
        <f>IF(spese!A197="f",spese!C197,"")</f>
        <v/>
      </c>
      <c r="D197" s="114"/>
      <c r="I197" s="106" t="str">
        <f t="shared" si="2"/>
        <v/>
      </c>
    </row>
    <row r="198">
      <c r="A198" s="114"/>
      <c r="B198" s="115" t="str">
        <f>IF(spese!A198="f",spese!B198,"")</f>
        <v/>
      </c>
      <c r="C198" s="116" t="str">
        <f>IF(spese!A198="f",spese!C198,"")</f>
        <v/>
      </c>
      <c r="D198" s="114"/>
      <c r="I198" s="106" t="str">
        <f t="shared" si="2"/>
        <v/>
      </c>
    </row>
    <row r="199">
      <c r="A199" s="114"/>
      <c r="B199" s="115" t="str">
        <f>IF(spese!A199="f",spese!B199,"")</f>
        <v/>
      </c>
      <c r="C199" s="116" t="str">
        <f>IF(spese!A199="f",spese!C199,"")</f>
        <v/>
      </c>
      <c r="D199" s="114"/>
      <c r="I199" s="106" t="str">
        <f t="shared" si="2"/>
        <v/>
      </c>
    </row>
    <row r="200">
      <c r="A200" s="114"/>
      <c r="B200" s="115" t="str">
        <f>IF(spese!A200="f",spese!B200,"")</f>
        <v/>
      </c>
      <c r="C200" s="116" t="str">
        <f>IF(spese!A200="f",spese!C200,"")</f>
        <v/>
      </c>
      <c r="D200" s="114"/>
      <c r="I200" s="106" t="str">
        <f t="shared" si="2"/>
        <v/>
      </c>
    </row>
    <row r="201">
      <c r="A201" s="114"/>
      <c r="B201" s="115" t="str">
        <f>IF(spese!A201="f",spese!B201,"")</f>
        <v/>
      </c>
      <c r="C201" s="116" t="str">
        <f>IF(spese!A201="f",spese!C201,"")</f>
        <v/>
      </c>
      <c r="D201" s="114"/>
      <c r="I201" s="106" t="str">
        <f t="shared" si="2"/>
        <v/>
      </c>
    </row>
    <row r="202">
      <c r="A202" s="114"/>
      <c r="B202" s="115" t="str">
        <f>IF(spese!A202="f",spese!B202,"")</f>
        <v/>
      </c>
      <c r="C202" s="116" t="str">
        <f>IF(spese!A202="f",spese!C202,"")</f>
        <v/>
      </c>
      <c r="D202" s="114"/>
      <c r="I202" s="106" t="str">
        <f t="shared" si="2"/>
        <v/>
      </c>
    </row>
    <row r="203">
      <c r="A203" s="114"/>
      <c r="B203" s="115" t="str">
        <f>IF(spese!A203="f",spese!B203,"")</f>
        <v/>
      </c>
      <c r="C203" s="116" t="str">
        <f>IF(spese!A203="f",spese!C203,"")</f>
        <v/>
      </c>
      <c r="D203" s="114"/>
      <c r="I203" s="106" t="str">
        <f t="shared" si="2"/>
        <v/>
      </c>
    </row>
    <row r="204">
      <c r="A204" s="114"/>
      <c r="B204" s="115" t="str">
        <f>IF(spese!A204="f",spese!B204,"")</f>
        <v/>
      </c>
      <c r="C204" s="116" t="str">
        <f>IF(spese!A204="f",spese!C204,"")</f>
        <v/>
      </c>
      <c r="D204" s="114"/>
      <c r="I204" s="106" t="str">
        <f t="shared" si="2"/>
        <v/>
      </c>
    </row>
    <row r="205">
      <c r="A205" s="114"/>
      <c r="B205" s="115" t="str">
        <f>IF(spese!A205="f",spese!B205,"")</f>
        <v/>
      </c>
      <c r="C205" s="116" t="str">
        <f>IF(spese!A205="f",spese!C205,"")</f>
        <v/>
      </c>
      <c r="D205" s="114"/>
      <c r="I205" s="106" t="str">
        <f t="shared" si="2"/>
        <v/>
      </c>
    </row>
    <row r="206">
      <c r="A206" s="114"/>
      <c r="B206" s="115" t="str">
        <f>IF(spese!A206="f",spese!B206,"")</f>
        <v/>
      </c>
      <c r="C206" s="116" t="str">
        <f>IF(spese!A206="f",spese!C206,"")</f>
        <v/>
      </c>
      <c r="D206" s="114"/>
      <c r="I206" s="106" t="str">
        <f t="shared" si="2"/>
        <v/>
      </c>
    </row>
    <row r="207">
      <c r="A207" s="114"/>
      <c r="B207" s="115" t="str">
        <f>IF(spese!A207="f",spese!B207,"")</f>
        <v/>
      </c>
      <c r="C207" s="116" t="str">
        <f>IF(spese!A207="f",spese!C207,"")</f>
        <v/>
      </c>
      <c r="D207" s="114"/>
      <c r="I207" s="106" t="str">
        <f t="shared" si="2"/>
        <v/>
      </c>
    </row>
    <row r="208">
      <c r="A208" s="114"/>
      <c r="B208" s="115" t="str">
        <f>IF(spese!A208="f",spese!B208,"")</f>
        <v/>
      </c>
      <c r="C208" s="116" t="str">
        <f>IF(spese!A208="f",spese!C208,"")</f>
        <v/>
      </c>
      <c r="D208" s="114"/>
      <c r="I208" s="106" t="str">
        <f t="shared" si="2"/>
        <v/>
      </c>
    </row>
    <row r="209">
      <c r="A209" s="114"/>
      <c r="B209" s="115" t="str">
        <f>IF(spese!A209="f",spese!B209,"")</f>
        <v/>
      </c>
      <c r="C209" s="116" t="str">
        <f>IF(spese!A209="f",spese!C209,"")</f>
        <v/>
      </c>
      <c r="D209" s="114"/>
      <c r="I209" s="106" t="str">
        <f t="shared" si="2"/>
        <v/>
      </c>
    </row>
    <row r="210">
      <c r="A210" s="114"/>
      <c r="B210" s="115" t="str">
        <f>IF(spese!A210="f",spese!B210,"")</f>
        <v/>
      </c>
      <c r="C210" s="116" t="str">
        <f>IF(spese!A210="f",spese!C210,"")</f>
        <v/>
      </c>
      <c r="D210" s="114"/>
      <c r="I210" s="106" t="str">
        <f t="shared" si="2"/>
        <v/>
      </c>
    </row>
    <row r="211">
      <c r="A211" s="114"/>
      <c r="B211" s="115" t="str">
        <f>IF(spese!A211="f",spese!B211,"")</f>
        <v/>
      </c>
      <c r="C211" s="116" t="str">
        <f>IF(spese!A211="f",spese!C211,"")</f>
        <v/>
      </c>
      <c r="D211" s="114"/>
      <c r="I211" s="106" t="str">
        <f t="shared" si="2"/>
        <v/>
      </c>
    </row>
    <row r="212">
      <c r="A212" s="114"/>
      <c r="B212" s="115" t="str">
        <f>IF(spese!A212="f",spese!B212,"")</f>
        <v/>
      </c>
      <c r="C212" s="116" t="str">
        <f>IF(spese!A212="f",spese!C212,"")</f>
        <v/>
      </c>
      <c r="D212" s="114"/>
      <c r="I212" s="106" t="str">
        <f t="shared" si="2"/>
        <v/>
      </c>
    </row>
    <row r="213">
      <c r="A213" s="114"/>
      <c r="B213" s="115" t="str">
        <f>IF(spese!A213="f",spese!B213,"")</f>
        <v/>
      </c>
      <c r="C213" s="116" t="str">
        <f>IF(spese!A213="f",spese!C213,"")</f>
        <v/>
      </c>
      <c r="D213" s="114"/>
      <c r="I213" s="106" t="str">
        <f t="shared" si="2"/>
        <v/>
      </c>
    </row>
    <row r="214">
      <c r="A214" s="114"/>
      <c r="B214" s="115" t="str">
        <f>IF(spese!A214="f",spese!B214,"")</f>
        <v/>
      </c>
      <c r="C214" s="116" t="str">
        <f>IF(spese!A214="f",spese!C214,"")</f>
        <v/>
      </c>
      <c r="D214" s="114"/>
      <c r="I214" s="106" t="str">
        <f t="shared" si="2"/>
        <v/>
      </c>
    </row>
    <row r="215">
      <c r="A215" s="114"/>
      <c r="B215" s="115" t="str">
        <f>IF(spese!A215="f",spese!B215,"")</f>
        <v/>
      </c>
      <c r="C215" s="116" t="str">
        <f>IF(spese!A215="f",spese!C215,"")</f>
        <v/>
      </c>
      <c r="D215" s="114"/>
      <c r="I215" s="106" t="str">
        <f t="shared" si="2"/>
        <v/>
      </c>
    </row>
    <row r="216">
      <c r="A216" s="114"/>
      <c r="B216" s="115" t="str">
        <f>IF(spese!A216="f",spese!B216,"")</f>
        <v/>
      </c>
      <c r="C216" s="116" t="str">
        <f>IF(spese!A216="f",spese!C216,"")</f>
        <v/>
      </c>
      <c r="D216" s="114"/>
      <c r="I216" s="106" t="str">
        <f t="shared" si="2"/>
        <v/>
      </c>
    </row>
    <row r="217">
      <c r="A217" s="114"/>
      <c r="B217" s="115" t="str">
        <f>IF(spese!A217="f",spese!B217,"")</f>
        <v/>
      </c>
      <c r="C217" s="116" t="str">
        <f>IF(spese!A217="f",spese!C217,"")</f>
        <v/>
      </c>
      <c r="D217" s="114"/>
      <c r="I217" s="106" t="str">
        <f t="shared" si="2"/>
        <v/>
      </c>
    </row>
    <row r="218">
      <c r="A218" s="114"/>
      <c r="B218" s="115" t="str">
        <f>IF(spese!A218="f",spese!B218,"")</f>
        <v/>
      </c>
      <c r="C218" s="116" t="str">
        <f>IF(spese!A218="f",spese!C218,"")</f>
        <v/>
      </c>
      <c r="D218" s="114"/>
      <c r="I218" s="106" t="str">
        <f t="shared" si="2"/>
        <v/>
      </c>
    </row>
    <row r="219">
      <c r="A219" s="114"/>
      <c r="B219" s="115" t="str">
        <f>IF(spese!A219="f",spese!B219,"")</f>
        <v/>
      </c>
      <c r="C219" s="116" t="str">
        <f>IF(spese!A219="f",spese!C219,"")</f>
        <v/>
      </c>
      <c r="D219" s="114"/>
      <c r="I219" s="106" t="str">
        <f t="shared" si="2"/>
        <v/>
      </c>
    </row>
    <row r="220">
      <c r="A220" s="114"/>
      <c r="B220" s="115" t="str">
        <f>IF(spese!A220="f",spese!B220,"")</f>
        <v/>
      </c>
      <c r="C220" s="116" t="str">
        <f>IF(spese!A220="f",spese!C220,"")</f>
        <v/>
      </c>
      <c r="D220" s="114"/>
      <c r="I220" s="106" t="str">
        <f t="shared" si="2"/>
        <v/>
      </c>
    </row>
    <row r="221">
      <c r="A221" s="114"/>
      <c r="B221" s="115" t="str">
        <f>IF(spese!A221="f",spese!B221,"")</f>
        <v/>
      </c>
      <c r="C221" s="116" t="str">
        <f>IF(spese!A221="f",spese!C221,"")</f>
        <v/>
      </c>
      <c r="D221" s="114"/>
      <c r="I221" s="106" t="str">
        <f t="shared" si="2"/>
        <v/>
      </c>
    </row>
    <row r="222">
      <c r="A222" s="114"/>
      <c r="B222" s="115" t="str">
        <f>IF(spese!A222="f",spese!B222,"")</f>
        <v/>
      </c>
      <c r="C222" s="116" t="str">
        <f>IF(spese!A222="f",spese!C222,"")</f>
        <v/>
      </c>
      <c r="D222" s="114"/>
      <c r="I222" s="106" t="str">
        <f t="shared" si="2"/>
        <v/>
      </c>
    </row>
    <row r="223">
      <c r="A223" s="114"/>
      <c r="B223" s="115" t="str">
        <f>IF(spese!A223="f",spese!B223,"")</f>
        <v/>
      </c>
      <c r="C223" s="116" t="str">
        <f>IF(spese!A223="f",spese!C223,"")</f>
        <v/>
      </c>
      <c r="D223" s="114"/>
      <c r="I223" s="106" t="str">
        <f t="shared" si="2"/>
        <v/>
      </c>
    </row>
    <row r="224">
      <c r="A224" s="114"/>
      <c r="B224" s="115" t="str">
        <f>IF(spese!A224="f",spese!B224,"")</f>
        <v/>
      </c>
      <c r="C224" s="116" t="str">
        <f>IF(spese!A224="f",spese!C224,"")</f>
        <v/>
      </c>
      <c r="D224" s="114"/>
      <c r="I224" s="106" t="str">
        <f t="shared" si="2"/>
        <v/>
      </c>
    </row>
    <row r="225">
      <c r="A225" s="114"/>
      <c r="B225" s="115" t="str">
        <f>IF(spese!A225="f",spese!B225,"")</f>
        <v/>
      </c>
      <c r="C225" s="116" t="str">
        <f>IF(spese!A225="f",spese!C225,"")</f>
        <v/>
      </c>
      <c r="D225" s="114"/>
      <c r="I225" s="106" t="str">
        <f t="shared" si="2"/>
        <v/>
      </c>
    </row>
    <row r="226">
      <c r="A226" s="114"/>
      <c r="B226" s="115" t="str">
        <f>IF(spese!A226="f",spese!B226,"")</f>
        <v/>
      </c>
      <c r="C226" s="116" t="str">
        <f>IF(spese!A226="f",spese!C226,"")</f>
        <v/>
      </c>
      <c r="D226" s="114"/>
      <c r="I226" s="106" t="str">
        <f t="shared" si="2"/>
        <v/>
      </c>
    </row>
    <row r="227">
      <c r="A227" s="114"/>
      <c r="B227" s="115" t="str">
        <f>IF(spese!A227="f",spese!B227,"")</f>
        <v/>
      </c>
      <c r="C227" s="116" t="str">
        <f>IF(spese!A227="f",spese!C227,"")</f>
        <v/>
      </c>
      <c r="D227" s="114"/>
      <c r="I227" s="106" t="str">
        <f t="shared" si="2"/>
        <v/>
      </c>
    </row>
    <row r="228">
      <c r="A228" s="114"/>
      <c r="B228" s="115" t="str">
        <f>IF(spese!A228="f",spese!B228,"")</f>
        <v/>
      </c>
      <c r="C228" s="116" t="str">
        <f>IF(spese!A228="f",spese!C228,"")</f>
        <v/>
      </c>
      <c r="D228" s="114"/>
      <c r="I228" s="106" t="str">
        <f t="shared" si="2"/>
        <v/>
      </c>
    </row>
    <row r="229">
      <c r="A229" s="114"/>
      <c r="B229" s="115" t="str">
        <f>IF(spese!A229="f",spese!B229,"")</f>
        <v/>
      </c>
      <c r="C229" s="116" t="str">
        <f>IF(spese!A229="f",spese!C229,"")</f>
        <v/>
      </c>
      <c r="D229" s="114"/>
      <c r="I229" s="106" t="str">
        <f t="shared" si="2"/>
        <v/>
      </c>
    </row>
    <row r="230">
      <c r="A230" s="114"/>
      <c r="B230" s="115" t="str">
        <f>IF(spese!A230="f",spese!B230,"")</f>
        <v/>
      </c>
      <c r="C230" s="116" t="str">
        <f>IF(spese!A230="f",spese!C230,"")</f>
        <v/>
      </c>
      <c r="D230" s="114"/>
      <c r="I230" s="106" t="str">
        <f t="shared" si="2"/>
        <v/>
      </c>
    </row>
    <row r="231">
      <c r="A231" s="114"/>
      <c r="B231" s="115" t="str">
        <f>IF(spese!A231="f",spese!B231,"")</f>
        <v/>
      </c>
      <c r="C231" s="116" t="str">
        <f>IF(spese!A231="f",spese!C231,"")</f>
        <v/>
      </c>
      <c r="D231" s="114"/>
      <c r="I231" s="106" t="str">
        <f t="shared" si="2"/>
        <v/>
      </c>
    </row>
    <row r="232">
      <c r="A232" s="114"/>
      <c r="B232" s="115" t="str">
        <f>IF(spese!A232="f",spese!B232,"")</f>
        <v/>
      </c>
      <c r="C232" s="116" t="str">
        <f>IF(spese!A232="f",spese!C232,"")</f>
        <v/>
      </c>
      <c r="D232" s="114"/>
      <c r="I232" s="106" t="str">
        <f t="shared" si="2"/>
        <v/>
      </c>
    </row>
    <row r="233">
      <c r="A233" s="114"/>
      <c r="B233" s="115" t="str">
        <f>IF(spese!A233="f",spese!B233,"")</f>
        <v/>
      </c>
      <c r="C233" s="116" t="str">
        <f>IF(spese!A233="f",spese!C233,"")</f>
        <v/>
      </c>
      <c r="D233" s="114"/>
      <c r="I233" s="106" t="str">
        <f t="shared" si="2"/>
        <v/>
      </c>
    </row>
    <row r="234">
      <c r="A234" s="114"/>
      <c r="B234" s="115" t="str">
        <f>IF(spese!A234="f",spese!B234,"")</f>
        <v/>
      </c>
      <c r="C234" s="116" t="str">
        <f>IF(spese!A234="f",spese!C234,"")</f>
        <v/>
      </c>
      <c r="D234" s="114"/>
      <c r="I234" s="106" t="str">
        <f t="shared" si="2"/>
        <v/>
      </c>
    </row>
    <row r="235">
      <c r="A235" s="114"/>
      <c r="B235" s="115" t="str">
        <f>IF(spese!A235="f",spese!B235,"")</f>
        <v/>
      </c>
      <c r="C235" s="116" t="str">
        <f>IF(spese!A235="f",spese!C235,"")</f>
        <v/>
      </c>
      <c r="D235" s="114"/>
      <c r="I235" s="106" t="str">
        <f t="shared" si="2"/>
        <v/>
      </c>
    </row>
    <row r="236">
      <c r="A236" s="114"/>
      <c r="B236" s="115" t="str">
        <f>IF(spese!A236="f",spese!B236,"")</f>
        <v/>
      </c>
      <c r="C236" s="116" t="str">
        <f>IF(spese!A236="f",spese!C236,"")</f>
        <v/>
      </c>
      <c r="D236" s="114"/>
      <c r="I236" s="106" t="str">
        <f t="shared" si="2"/>
        <v/>
      </c>
    </row>
    <row r="237">
      <c r="A237" s="114"/>
      <c r="B237" s="115" t="str">
        <f>IF(spese!A237="f",spese!B237,"")</f>
        <v/>
      </c>
      <c r="C237" s="116" t="str">
        <f>IF(spese!A237="f",spese!C237,"")</f>
        <v/>
      </c>
      <c r="D237" s="114"/>
      <c r="I237" s="106" t="str">
        <f t="shared" si="2"/>
        <v/>
      </c>
    </row>
    <row r="238">
      <c r="A238" s="114"/>
      <c r="B238" s="115" t="str">
        <f>IF(spese!A238="f",spese!B238,"")</f>
        <v/>
      </c>
      <c r="C238" s="116" t="str">
        <f>IF(spese!A238="f",spese!C238,"")</f>
        <v/>
      </c>
      <c r="D238" s="114"/>
      <c r="I238" s="106" t="str">
        <f t="shared" si="2"/>
        <v/>
      </c>
    </row>
    <row r="239">
      <c r="A239" s="114"/>
      <c r="B239" s="115" t="str">
        <f>IF(spese!A239="f",spese!B239,"")</f>
        <v/>
      </c>
      <c r="C239" s="116" t="str">
        <f>IF(spese!A239="f",spese!C239,"")</f>
        <v/>
      </c>
      <c r="D239" s="114"/>
      <c r="I239" s="106" t="str">
        <f t="shared" si="2"/>
        <v/>
      </c>
    </row>
    <row r="240">
      <c r="A240" s="114"/>
      <c r="B240" s="115" t="str">
        <f>IF(spese!A240="f",spese!B240,"")</f>
        <v/>
      </c>
      <c r="C240" s="116" t="str">
        <f>IF(spese!A240="f",spese!C240,"")</f>
        <v/>
      </c>
      <c r="D240" s="114"/>
      <c r="I240" s="106" t="str">
        <f t="shared" si="2"/>
        <v/>
      </c>
    </row>
    <row r="241">
      <c r="A241" s="114"/>
      <c r="B241" s="115" t="str">
        <f>IF(spese!A241="f",spese!B241,"")</f>
        <v/>
      </c>
      <c r="C241" s="116" t="str">
        <f>IF(spese!A241="f",spese!C241,"")</f>
        <v/>
      </c>
      <c r="D241" s="114"/>
      <c r="I241" s="106" t="str">
        <f t="shared" si="2"/>
        <v/>
      </c>
    </row>
    <row r="242">
      <c r="A242" s="114"/>
      <c r="B242" s="115" t="str">
        <f>IF(spese!A242="f",spese!B242,"")</f>
        <v/>
      </c>
      <c r="C242" s="116" t="str">
        <f>IF(spese!A242="f",spese!C242,"")</f>
        <v/>
      </c>
      <c r="D242" s="114"/>
      <c r="I242" s="106" t="str">
        <f t="shared" si="2"/>
        <v/>
      </c>
    </row>
    <row r="243">
      <c r="A243" s="114"/>
      <c r="B243" s="115" t="str">
        <f>IF(spese!A243="f",spese!B243,"")</f>
        <v/>
      </c>
      <c r="C243" s="116" t="str">
        <f>IF(spese!A243="f",spese!C243,"")</f>
        <v/>
      </c>
      <c r="D243" s="114"/>
      <c r="I243" s="106" t="str">
        <f t="shared" si="2"/>
        <v/>
      </c>
    </row>
    <row r="244">
      <c r="A244" s="114"/>
      <c r="B244" s="115" t="str">
        <f>IF(spese!A244="f",spese!B244,"")</f>
        <v/>
      </c>
      <c r="C244" s="116" t="str">
        <f>IF(spese!A244="f",spese!C244,"")</f>
        <v/>
      </c>
      <c r="D244" s="114"/>
      <c r="I244" s="106" t="str">
        <f t="shared" si="2"/>
        <v/>
      </c>
    </row>
    <row r="245">
      <c r="A245" s="114"/>
      <c r="B245" s="115" t="str">
        <f>IF(spese!A245="f",spese!B245,"")</f>
        <v/>
      </c>
      <c r="C245" s="116" t="str">
        <f>IF(spese!A245="f",spese!C245,"")</f>
        <v/>
      </c>
      <c r="D245" s="114"/>
      <c r="I245" s="106" t="str">
        <f t="shared" si="2"/>
        <v/>
      </c>
    </row>
    <row r="246">
      <c r="A246" s="114"/>
      <c r="B246" s="115" t="str">
        <f>IF(spese!A246="f",spese!B246,"")</f>
        <v/>
      </c>
      <c r="C246" s="116" t="str">
        <f>IF(spese!A246="f",spese!C246,"")</f>
        <v/>
      </c>
      <c r="D246" s="114"/>
      <c r="I246" s="106" t="str">
        <f t="shared" si="2"/>
        <v/>
      </c>
    </row>
    <row r="247">
      <c r="A247" s="114"/>
      <c r="B247" s="115" t="str">
        <f>IF(spese!A247="f",spese!B247,"")</f>
        <v/>
      </c>
      <c r="C247" s="116" t="str">
        <f>IF(spese!A247="f",spese!C247,"")</f>
        <v/>
      </c>
      <c r="D247" s="114"/>
      <c r="I247" s="106" t="str">
        <f t="shared" si="2"/>
        <v/>
      </c>
    </row>
    <row r="248">
      <c r="A248" s="114"/>
      <c r="B248" s="115" t="str">
        <f>IF(spese!A248="f",spese!B248,"")</f>
        <v/>
      </c>
      <c r="C248" s="116" t="str">
        <f>IF(spese!A248="f",spese!C248,"")</f>
        <v/>
      </c>
      <c r="D248" s="114"/>
      <c r="I248" s="106" t="str">
        <f t="shared" si="2"/>
        <v/>
      </c>
    </row>
    <row r="249">
      <c r="A249" s="114"/>
      <c r="B249" s="115" t="str">
        <f>IF(spese!A249="f",spese!B249,"")</f>
        <v/>
      </c>
      <c r="C249" s="116" t="str">
        <f>IF(spese!A249="f",spese!C249,"")</f>
        <v/>
      </c>
      <c r="D249" s="114"/>
      <c r="I249" s="106" t="str">
        <f t="shared" si="2"/>
        <v/>
      </c>
    </row>
    <row r="250">
      <c r="A250" s="114"/>
      <c r="B250" s="115" t="str">
        <f>IF(spese!A250="f",spese!B250,"")</f>
        <v/>
      </c>
      <c r="C250" s="116" t="str">
        <f>IF(spese!A250="f",spese!C250,"")</f>
        <v/>
      </c>
      <c r="D250" s="114"/>
      <c r="I250" s="106" t="str">
        <f t="shared" si="2"/>
        <v/>
      </c>
    </row>
    <row r="251">
      <c r="A251" s="114"/>
      <c r="B251" s="115" t="str">
        <f>IF(spese!A251="f",spese!B251,"")</f>
        <v/>
      </c>
      <c r="C251" s="116" t="str">
        <f>IF(spese!A251="f",spese!C251,"")</f>
        <v/>
      </c>
      <c r="D251" s="114"/>
      <c r="I251" s="106" t="str">
        <f t="shared" si="2"/>
        <v/>
      </c>
    </row>
    <row r="252">
      <c r="A252" s="114"/>
      <c r="B252" s="115" t="str">
        <f>IF(spese!A252="f",spese!B252,"")</f>
        <v/>
      </c>
      <c r="C252" s="116" t="str">
        <f>IF(spese!A252="f",spese!C252,"")</f>
        <v/>
      </c>
      <c r="D252" s="114"/>
      <c r="I252" s="106" t="str">
        <f t="shared" si="2"/>
        <v/>
      </c>
    </row>
    <row r="253">
      <c r="A253" s="114"/>
      <c r="B253" s="115" t="str">
        <f>IF(spese!A253="f",spese!B253,"")</f>
        <v/>
      </c>
      <c r="C253" s="116" t="str">
        <f>IF(spese!A253="f",spese!C253,"")</f>
        <v/>
      </c>
      <c r="D253" s="114"/>
      <c r="I253" s="106" t="str">
        <f t="shared" si="2"/>
        <v/>
      </c>
    </row>
    <row r="254">
      <c r="A254" s="114"/>
      <c r="B254" s="115" t="str">
        <f>IF(spese!A254="f",spese!B254,"")</f>
        <v/>
      </c>
      <c r="C254" s="116" t="str">
        <f>IF(spese!A254="f",spese!C254,"")</f>
        <v/>
      </c>
      <c r="D254" s="114"/>
      <c r="I254" s="106" t="str">
        <f t="shared" si="2"/>
        <v/>
      </c>
    </row>
    <row r="255">
      <c r="A255" s="114"/>
      <c r="B255" s="115" t="str">
        <f>IF(spese!A255="f",spese!B255,"")</f>
        <v/>
      </c>
      <c r="C255" s="116" t="str">
        <f>IF(spese!A255="f",spese!C255,"")</f>
        <v/>
      </c>
      <c r="D255" s="114"/>
      <c r="I255" s="106" t="str">
        <f t="shared" si="2"/>
        <v/>
      </c>
    </row>
    <row r="256">
      <c r="A256" s="114"/>
      <c r="B256" s="115" t="str">
        <f>IF(spese!A256="f",spese!B256,"")</f>
        <v/>
      </c>
      <c r="C256" s="116" t="str">
        <f>IF(spese!A256="f",spese!C256,"")</f>
        <v/>
      </c>
      <c r="D256" s="114"/>
      <c r="I256" s="106" t="str">
        <f t="shared" si="2"/>
        <v/>
      </c>
    </row>
    <row r="257">
      <c r="A257" s="114"/>
      <c r="B257" s="115" t="str">
        <f>IF(spese!A257="f",spese!B257,"")</f>
        <v/>
      </c>
      <c r="C257" s="116" t="str">
        <f>IF(spese!A257="f",spese!C257,"")</f>
        <v/>
      </c>
      <c r="D257" s="114"/>
      <c r="I257" s="106" t="str">
        <f t="shared" si="2"/>
        <v/>
      </c>
    </row>
    <row r="258">
      <c r="A258" s="114"/>
      <c r="B258" s="115" t="str">
        <f>IF(spese!A258="f",spese!B258,"")</f>
        <v/>
      </c>
      <c r="C258" s="116" t="str">
        <f>IF(spese!A258="f",spese!C258,"")</f>
        <v/>
      </c>
      <c r="D258" s="114"/>
      <c r="I258" s="106" t="str">
        <f t="shared" si="2"/>
        <v/>
      </c>
    </row>
    <row r="259">
      <c r="A259" s="114"/>
      <c r="B259" s="115" t="str">
        <f>IF(spese!A259="f",spese!B259,"")</f>
        <v/>
      </c>
      <c r="C259" s="116" t="str">
        <f>IF(spese!A259="f",spese!C259,"")</f>
        <v/>
      </c>
      <c r="D259" s="114"/>
      <c r="I259" s="106" t="str">
        <f t="shared" si="2"/>
        <v/>
      </c>
    </row>
    <row r="260">
      <c r="A260" s="114"/>
      <c r="B260" s="115" t="str">
        <f>IF(spese!A260="f",spese!B260,"")</f>
        <v/>
      </c>
      <c r="C260" s="116" t="str">
        <f>IF(spese!A260="f",spese!C260,"")</f>
        <v/>
      </c>
      <c r="D260" s="114"/>
      <c r="I260" s="106" t="str">
        <f t="shared" si="2"/>
        <v/>
      </c>
    </row>
    <row r="261">
      <c r="A261" s="114"/>
      <c r="B261" s="115" t="str">
        <f>IF(spese!A261="f",spese!B261,"")</f>
        <v/>
      </c>
      <c r="C261" s="116" t="str">
        <f>IF(spese!A261="f",spese!C261,"")</f>
        <v/>
      </c>
      <c r="D261" s="114"/>
      <c r="I261" s="106" t="str">
        <f t="shared" si="2"/>
        <v/>
      </c>
    </row>
    <row r="262">
      <c r="A262" s="114"/>
      <c r="B262" s="115" t="str">
        <f>IF(spese!A262="f",spese!B262,"")</f>
        <v/>
      </c>
      <c r="C262" s="116" t="str">
        <f>IF(spese!A262="f",spese!C262,"")</f>
        <v/>
      </c>
      <c r="D262" s="114"/>
      <c r="I262" s="106" t="str">
        <f t="shared" si="2"/>
        <v/>
      </c>
    </row>
    <row r="263">
      <c r="A263" s="114"/>
      <c r="B263" s="115" t="str">
        <f>IF(spese!A263="f",spese!B263,"")</f>
        <v/>
      </c>
      <c r="C263" s="116" t="str">
        <f>IF(spese!A263="f",spese!C263,"")</f>
        <v/>
      </c>
      <c r="D263" s="114"/>
      <c r="I263" s="106" t="str">
        <f t="shared" si="2"/>
        <v/>
      </c>
    </row>
    <row r="264">
      <c r="A264" s="114"/>
      <c r="B264" s="115" t="str">
        <f>IF(spese!A264="f",spese!B264,"")</f>
        <v/>
      </c>
      <c r="C264" s="116" t="str">
        <f>IF(spese!A264="f",spese!C264,"")</f>
        <v/>
      </c>
      <c r="D264" s="114"/>
      <c r="I264" s="106" t="str">
        <f t="shared" si="2"/>
        <v/>
      </c>
    </row>
    <row r="265">
      <c r="A265" s="114"/>
      <c r="B265" s="115" t="str">
        <f>IF(spese!A265="f",spese!B265,"")</f>
        <v/>
      </c>
      <c r="C265" s="116" t="str">
        <f>IF(spese!A265="f",spese!C265,"")</f>
        <v/>
      </c>
      <c r="D265" s="114"/>
      <c r="I265" s="106" t="str">
        <f t="shared" si="2"/>
        <v/>
      </c>
    </row>
    <row r="266">
      <c r="A266" s="114"/>
      <c r="B266" s="115" t="str">
        <f>IF(spese!A266="f",spese!B266,"")</f>
        <v/>
      </c>
      <c r="C266" s="116" t="str">
        <f>IF(spese!A266="f",spese!C266,"")</f>
        <v/>
      </c>
      <c r="D266" s="114"/>
      <c r="I266" s="106" t="str">
        <f t="shared" si="2"/>
        <v/>
      </c>
    </row>
    <row r="267">
      <c r="A267" s="114"/>
      <c r="B267" s="115" t="str">
        <f>IF(spese!A267="f",spese!B267,"")</f>
        <v/>
      </c>
      <c r="C267" s="116" t="str">
        <f>IF(spese!A267="f",spese!C267,"")</f>
        <v/>
      </c>
      <c r="D267" s="114"/>
      <c r="I267" s="106" t="str">
        <f t="shared" si="2"/>
        <v/>
      </c>
    </row>
    <row r="268">
      <c r="A268" s="114"/>
      <c r="B268" s="115" t="str">
        <f>IF(spese!A268="f",spese!B268,"")</f>
        <v/>
      </c>
      <c r="C268" s="116" t="str">
        <f>IF(spese!A268="f",spese!C268,"")</f>
        <v/>
      </c>
      <c r="D268" s="114"/>
      <c r="I268" s="106" t="str">
        <f t="shared" si="2"/>
        <v/>
      </c>
    </row>
    <row r="269">
      <c r="A269" s="114"/>
      <c r="B269" s="115" t="str">
        <f>IF(spese!A269="f",spese!B269,"")</f>
        <v/>
      </c>
      <c r="C269" s="116" t="str">
        <f>IF(spese!A269="f",spese!C269,"")</f>
        <v/>
      </c>
      <c r="D269" s="114"/>
      <c r="I269" s="106" t="str">
        <f t="shared" si="2"/>
        <v/>
      </c>
    </row>
    <row r="270">
      <c r="A270" s="114"/>
      <c r="B270" s="115" t="str">
        <f>IF(spese!A270="f",spese!B270,"")</f>
        <v/>
      </c>
      <c r="C270" s="116" t="str">
        <f>IF(spese!A270="f",spese!C270,"")</f>
        <v/>
      </c>
      <c r="D270" s="114"/>
      <c r="I270" s="106" t="str">
        <f t="shared" si="2"/>
        <v/>
      </c>
    </row>
    <row r="271">
      <c r="A271" s="114"/>
      <c r="B271" s="115" t="str">
        <f>IF(spese!A271="f",spese!B271,"")</f>
        <v/>
      </c>
      <c r="C271" s="116" t="str">
        <f>IF(spese!A271="f",spese!C271,"")</f>
        <v/>
      </c>
      <c r="D271" s="114"/>
      <c r="I271" s="106" t="str">
        <f t="shared" si="2"/>
        <v/>
      </c>
    </row>
    <row r="272">
      <c r="A272" s="114"/>
      <c r="B272" s="115" t="str">
        <f>IF(spese!A272="f",spese!B272,"")</f>
        <v/>
      </c>
      <c r="C272" s="116" t="str">
        <f>IF(spese!A272="f",spese!C272,"")</f>
        <v/>
      </c>
      <c r="D272" s="114"/>
      <c r="I272" s="106" t="str">
        <f t="shared" si="2"/>
        <v/>
      </c>
    </row>
    <row r="273">
      <c r="A273" s="114"/>
      <c r="B273" s="115" t="str">
        <f>IF(spese!A273="f",spese!B273,"")</f>
        <v/>
      </c>
      <c r="C273" s="116" t="str">
        <f>IF(spese!A273="f",spese!C273,"")</f>
        <v/>
      </c>
      <c r="D273" s="114"/>
      <c r="I273" s="106" t="str">
        <f t="shared" si="2"/>
        <v/>
      </c>
    </row>
    <row r="274">
      <c r="A274" s="114"/>
      <c r="B274" s="115" t="str">
        <f>IF(spese!A274="f",spese!B274,"")</f>
        <v/>
      </c>
      <c r="C274" s="116" t="str">
        <f>IF(spese!A274="f",spese!C274,"")</f>
        <v/>
      </c>
      <c r="D274" s="114"/>
      <c r="I274" s="106" t="str">
        <f t="shared" si="2"/>
        <v/>
      </c>
    </row>
    <row r="275">
      <c r="A275" s="114"/>
      <c r="B275" s="115" t="str">
        <f>IF(spese!A275="f",spese!B275,"")</f>
        <v/>
      </c>
      <c r="C275" s="116" t="str">
        <f>IF(spese!A275="f",spese!C275,"")</f>
        <v/>
      </c>
      <c r="D275" s="114"/>
      <c r="I275" s="106" t="str">
        <f t="shared" si="2"/>
        <v/>
      </c>
    </row>
    <row r="276">
      <c r="A276" s="114"/>
      <c r="B276" s="115" t="str">
        <f>IF(spese!A276="f",spese!B276,"")</f>
        <v/>
      </c>
      <c r="C276" s="116" t="str">
        <f>IF(spese!A276="f",spese!C276,"")</f>
        <v/>
      </c>
      <c r="D276" s="114"/>
      <c r="I276" s="106" t="str">
        <f t="shared" si="2"/>
        <v/>
      </c>
    </row>
    <row r="277">
      <c r="A277" s="114"/>
      <c r="B277" s="115" t="str">
        <f>IF(spese!A277="f",spese!B277,"")</f>
        <v/>
      </c>
      <c r="C277" s="116" t="str">
        <f>IF(spese!A277="f",spese!C277,"")</f>
        <v/>
      </c>
      <c r="D277" s="114"/>
      <c r="I277" s="106" t="str">
        <f t="shared" si="2"/>
        <v/>
      </c>
    </row>
    <row r="278">
      <c r="A278" s="114"/>
      <c r="B278" s="115" t="str">
        <f>IF(spese!A278="f",spese!B278,"")</f>
        <v/>
      </c>
      <c r="C278" s="116" t="str">
        <f>IF(spese!A278="f",spese!C278,"")</f>
        <v/>
      </c>
      <c r="D278" s="114"/>
      <c r="I278" s="106" t="str">
        <f t="shared" si="2"/>
        <v/>
      </c>
    </row>
    <row r="279">
      <c r="A279" s="114"/>
      <c r="B279" s="115" t="str">
        <f>IF(spese!A279="f",spese!B279,"")</f>
        <v/>
      </c>
      <c r="C279" s="116" t="str">
        <f>IF(spese!A279="f",spese!C279,"")</f>
        <v/>
      </c>
      <c r="D279" s="114"/>
      <c r="I279" s="106" t="str">
        <f t="shared" si="2"/>
        <v/>
      </c>
    </row>
    <row r="280">
      <c r="A280" s="114"/>
      <c r="B280" s="115" t="str">
        <f>IF(spese!A280="f",spese!B280,"")</f>
        <v/>
      </c>
      <c r="C280" s="116" t="str">
        <f>IF(spese!A280="f",spese!C280,"")</f>
        <v/>
      </c>
      <c r="D280" s="114"/>
      <c r="I280" s="106" t="str">
        <f t="shared" si="2"/>
        <v/>
      </c>
    </row>
    <row r="281">
      <c r="A281" s="114"/>
      <c r="B281" s="115" t="str">
        <f>IF(spese!A281="f",spese!B281,"")</f>
        <v/>
      </c>
      <c r="C281" s="116" t="str">
        <f>IF(spese!A281="f",spese!C281,"")</f>
        <v/>
      </c>
      <c r="D281" s="114"/>
      <c r="I281" s="106" t="str">
        <f t="shared" si="2"/>
        <v/>
      </c>
    </row>
    <row r="282">
      <c r="A282" s="114"/>
      <c r="B282" s="115" t="str">
        <f>IF(spese!A282="f",spese!B282,"")</f>
        <v/>
      </c>
      <c r="C282" s="116" t="str">
        <f>IF(spese!A282="f",spese!C282,"")</f>
        <v/>
      </c>
      <c r="D282" s="114"/>
      <c r="I282" s="106" t="str">
        <f t="shared" si="2"/>
        <v/>
      </c>
    </row>
    <row r="283">
      <c r="A283" s="114"/>
      <c r="B283" s="115" t="str">
        <f>IF(spese!A283="f",spese!B283,"")</f>
        <v/>
      </c>
      <c r="C283" s="116" t="str">
        <f>IF(spese!A283="f",spese!C283,"")</f>
        <v/>
      </c>
      <c r="D283" s="114"/>
      <c r="I283" s="106" t="str">
        <f t="shared" si="2"/>
        <v/>
      </c>
    </row>
    <row r="284">
      <c r="A284" s="114"/>
      <c r="B284" s="115" t="str">
        <f>IF(spese!A284="f",spese!B284,"")</f>
        <v/>
      </c>
      <c r="C284" s="116" t="str">
        <f>IF(spese!A284="f",spese!C284,"")</f>
        <v/>
      </c>
      <c r="D284" s="114"/>
      <c r="I284" s="106" t="str">
        <f t="shared" si="2"/>
        <v/>
      </c>
    </row>
    <row r="285">
      <c r="A285" s="114"/>
      <c r="B285" s="115" t="str">
        <f>IF(spese!A285="f",spese!B285,"")</f>
        <v/>
      </c>
      <c r="C285" s="116" t="str">
        <f>IF(spese!A285="f",spese!C285,"")</f>
        <v/>
      </c>
      <c r="D285" s="114"/>
      <c r="I285" s="106" t="str">
        <f t="shared" si="2"/>
        <v/>
      </c>
    </row>
    <row r="286">
      <c r="A286" s="114"/>
      <c r="B286" s="115" t="str">
        <f>IF(spese!A286="f",spese!B286,"")</f>
        <v/>
      </c>
      <c r="C286" s="116" t="str">
        <f>IF(spese!A286="f",spese!C286,"")</f>
        <v/>
      </c>
      <c r="D286" s="114"/>
      <c r="I286" s="106" t="str">
        <f t="shared" si="2"/>
        <v/>
      </c>
    </row>
    <row r="287">
      <c r="A287" s="114"/>
      <c r="B287" s="115" t="str">
        <f>IF(spese!A287="f",spese!B287,"")</f>
        <v/>
      </c>
      <c r="C287" s="116" t="str">
        <f>IF(spese!A287="f",spese!C287,"")</f>
        <v/>
      </c>
      <c r="D287" s="114"/>
      <c r="I287" s="106" t="str">
        <f t="shared" si="2"/>
        <v/>
      </c>
    </row>
    <row r="288">
      <c r="A288" s="114"/>
      <c r="B288" s="115" t="str">
        <f>IF(spese!A288="f",spese!B288,"")</f>
        <v/>
      </c>
      <c r="C288" s="116" t="str">
        <f>IF(spese!A288="f",spese!C288,"")</f>
        <v/>
      </c>
      <c r="D288" s="114"/>
      <c r="I288" s="106" t="str">
        <f t="shared" si="2"/>
        <v/>
      </c>
    </row>
    <row r="289">
      <c r="A289" s="114"/>
      <c r="B289" s="115" t="str">
        <f>IF(spese!A289="f",spese!B289,"")</f>
        <v/>
      </c>
      <c r="C289" s="116" t="str">
        <f>IF(spese!A289="f",spese!C289,"")</f>
        <v/>
      </c>
      <c r="D289" s="114"/>
      <c r="I289" s="106" t="str">
        <f t="shared" si="2"/>
        <v/>
      </c>
    </row>
    <row r="290">
      <c r="A290" s="114"/>
      <c r="B290" s="115" t="str">
        <f>IF(spese!A290="f",spese!B290,"")</f>
        <v/>
      </c>
      <c r="C290" s="116" t="str">
        <f>IF(spese!A290="f",spese!C290,"")</f>
        <v/>
      </c>
      <c r="D290" s="114"/>
      <c r="I290" s="106" t="str">
        <f t="shared" si="2"/>
        <v/>
      </c>
    </row>
    <row r="291">
      <c r="A291" s="114"/>
      <c r="B291" s="115" t="str">
        <f>IF(spese!A291="f",spese!B291,"")</f>
        <v/>
      </c>
      <c r="C291" s="116" t="str">
        <f>IF(spese!A291="f",spese!C291,"")</f>
        <v/>
      </c>
      <c r="D291" s="114"/>
      <c r="I291" s="106" t="str">
        <f t="shared" si="2"/>
        <v/>
      </c>
    </row>
    <row r="292">
      <c r="A292" s="114"/>
      <c r="B292" s="115" t="str">
        <f>IF(spese!A292="f",spese!B292,"")</f>
        <v/>
      </c>
      <c r="C292" s="116" t="str">
        <f>IF(spese!A292="f",spese!C292,"")</f>
        <v/>
      </c>
      <c r="D292" s="114"/>
      <c r="I292" s="106" t="str">
        <f t="shared" si="2"/>
        <v/>
      </c>
    </row>
    <row r="293">
      <c r="A293" s="114"/>
      <c r="B293" s="115" t="str">
        <f>IF(spese!A293="f",spese!B293,"")</f>
        <v/>
      </c>
      <c r="C293" s="116" t="str">
        <f>IF(spese!A293="f",spese!C293,"")</f>
        <v/>
      </c>
      <c r="D293" s="114"/>
      <c r="I293" s="106" t="str">
        <f t="shared" si="2"/>
        <v/>
      </c>
    </row>
    <row r="294">
      <c r="A294" s="114"/>
      <c r="B294" s="115" t="str">
        <f>IF(spese!A294="f",spese!B294,"")</f>
        <v/>
      </c>
      <c r="C294" s="116" t="str">
        <f>IF(spese!A294="f",spese!C294,"")</f>
        <v/>
      </c>
      <c r="D294" s="114"/>
      <c r="I294" s="106" t="str">
        <f t="shared" si="2"/>
        <v/>
      </c>
    </row>
    <row r="295">
      <c r="A295" s="114"/>
      <c r="B295" s="115" t="str">
        <f>IF(spese!A295="f",spese!B295,"")</f>
        <v/>
      </c>
      <c r="C295" s="116" t="str">
        <f>IF(spese!A295="f",spese!C295,"")</f>
        <v/>
      </c>
      <c r="D295" s="114"/>
      <c r="I295" s="106" t="str">
        <f t="shared" si="2"/>
        <v/>
      </c>
    </row>
    <row r="296">
      <c r="A296" s="114"/>
      <c r="B296" s="115" t="str">
        <f>IF(spese!A296="f",spese!B296,"")</f>
        <v/>
      </c>
      <c r="C296" s="116" t="str">
        <f>IF(spese!A296="f",spese!C296,"")</f>
        <v/>
      </c>
      <c r="D296" s="114"/>
      <c r="I296" s="106" t="str">
        <f t="shared" si="2"/>
        <v/>
      </c>
    </row>
    <row r="297">
      <c r="A297" s="114"/>
      <c r="B297" s="115" t="str">
        <f>IF(spese!A297="f",spese!B297,"")</f>
        <v/>
      </c>
      <c r="C297" s="116" t="str">
        <f>IF(spese!A297="f",spese!C297,"")</f>
        <v/>
      </c>
      <c r="D297" s="114"/>
      <c r="I297" s="106" t="str">
        <f t="shared" si="2"/>
        <v/>
      </c>
    </row>
    <row r="298">
      <c r="A298" s="114"/>
      <c r="B298" s="115" t="str">
        <f>IF(spese!A298="f",spese!B298,"")</f>
        <v/>
      </c>
      <c r="C298" s="116" t="str">
        <f>IF(spese!A298="f",spese!C298,"")</f>
        <v/>
      </c>
      <c r="D298" s="114"/>
      <c r="I298" s="106" t="str">
        <f t="shared" si="2"/>
        <v/>
      </c>
    </row>
    <row r="299">
      <c r="A299" s="114"/>
      <c r="B299" s="115" t="str">
        <f>IF(spese!A299="f",spese!B299,"")</f>
        <v/>
      </c>
      <c r="C299" s="116" t="str">
        <f>IF(spese!A299="f",spese!C299,"")</f>
        <v/>
      </c>
      <c r="D299" s="114"/>
      <c r="I299" s="106" t="str">
        <f t="shared" si="2"/>
        <v/>
      </c>
    </row>
    <row r="300">
      <c r="A300" s="114"/>
      <c r="B300" s="115" t="str">
        <f>IF(spese!A300="f",spese!B300,"")</f>
        <v/>
      </c>
      <c r="C300" s="116" t="str">
        <f>IF(spese!A300="f",spese!C300,"")</f>
        <v/>
      </c>
      <c r="D300" s="114"/>
      <c r="I300" s="106" t="str">
        <f t="shared" si="2"/>
        <v/>
      </c>
    </row>
    <row r="301">
      <c r="A301" s="114"/>
      <c r="B301" s="115" t="str">
        <f>IF(spese!A301="f",spese!B301,"")</f>
        <v/>
      </c>
      <c r="C301" s="116" t="str">
        <f>IF(spese!A301="f",spese!C301,"")</f>
        <v/>
      </c>
      <c r="D301" s="114"/>
      <c r="I301" s="106" t="str">
        <f t="shared" si="2"/>
        <v/>
      </c>
    </row>
    <row r="302">
      <c r="A302" s="114"/>
      <c r="B302" s="115" t="str">
        <f>IF(spese!A302="f",spese!B302,"")</f>
        <v/>
      </c>
      <c r="C302" s="116" t="str">
        <f>IF(spese!A302="f",spese!C302,"")</f>
        <v/>
      </c>
      <c r="D302" s="114"/>
      <c r="I302" s="106" t="str">
        <f t="shared" si="2"/>
        <v/>
      </c>
    </row>
    <row r="303">
      <c r="A303" s="114"/>
      <c r="B303" s="115" t="str">
        <f>IF(spese!A303="f",spese!B303,"")</f>
        <v/>
      </c>
      <c r="C303" s="116" t="str">
        <f>IF(spese!A303="f",spese!C303,"")</f>
        <v/>
      </c>
      <c r="D303" s="114"/>
      <c r="I303" s="106" t="str">
        <f t="shared" si="2"/>
        <v/>
      </c>
    </row>
    <row r="304">
      <c r="A304" s="114"/>
      <c r="C304" s="29"/>
      <c r="D304" s="114"/>
      <c r="I304" s="129"/>
    </row>
    <row r="305">
      <c r="A305" s="114"/>
      <c r="C305" s="29"/>
      <c r="D305" s="114"/>
      <c r="I305" s="129"/>
    </row>
    <row r="306">
      <c r="A306" s="114"/>
      <c r="C306" s="29"/>
      <c r="D306" s="114"/>
      <c r="I306" s="129"/>
    </row>
    <row r="307">
      <c r="A307" s="114"/>
      <c r="C307" s="29"/>
      <c r="D307" s="114"/>
      <c r="I307" s="129"/>
    </row>
    <row r="308">
      <c r="A308" s="114"/>
      <c r="C308" s="29"/>
      <c r="D308" s="114"/>
      <c r="I308" s="129"/>
    </row>
    <row r="309">
      <c r="A309" s="114"/>
      <c r="C309" s="29"/>
      <c r="D309" s="114"/>
      <c r="I309" s="129"/>
    </row>
    <row r="310">
      <c r="A310" s="114"/>
      <c r="C310" s="29"/>
      <c r="D310" s="114"/>
      <c r="I310" s="129"/>
    </row>
    <row r="311">
      <c r="A311" s="114"/>
      <c r="C311" s="29"/>
      <c r="D311" s="114"/>
      <c r="I311" s="129"/>
    </row>
    <row r="312">
      <c r="A312" s="114"/>
      <c r="C312" s="29"/>
      <c r="D312" s="114"/>
      <c r="I312" s="129"/>
    </row>
    <row r="313">
      <c r="A313" s="114"/>
      <c r="C313" s="29"/>
      <c r="D313" s="114"/>
      <c r="I313" s="129"/>
    </row>
    <row r="314">
      <c r="A314" s="114"/>
      <c r="C314" s="29"/>
      <c r="D314" s="114"/>
      <c r="I314" s="129"/>
    </row>
    <row r="315">
      <c r="A315" s="114"/>
      <c r="C315" s="29"/>
      <c r="D315" s="114"/>
      <c r="I315" s="129"/>
    </row>
    <row r="316">
      <c r="A316" s="114"/>
      <c r="C316" s="29"/>
      <c r="D316" s="114"/>
      <c r="I316" s="129"/>
    </row>
    <row r="317">
      <c r="A317" s="114"/>
      <c r="C317" s="29"/>
      <c r="D317" s="114"/>
      <c r="I317" s="129"/>
    </row>
    <row r="318">
      <c r="A318" s="114"/>
      <c r="C318" s="29"/>
      <c r="D318" s="114"/>
      <c r="I318" s="129"/>
    </row>
    <row r="319">
      <c r="A319" s="114"/>
      <c r="C319" s="29"/>
      <c r="D319" s="114"/>
      <c r="I319" s="129"/>
    </row>
    <row r="320">
      <c r="A320" s="114"/>
      <c r="C320" s="29"/>
      <c r="D320" s="114"/>
      <c r="I320" s="129"/>
    </row>
    <row r="321">
      <c r="A321" s="114"/>
      <c r="C321" s="29"/>
      <c r="D321" s="114"/>
      <c r="I321" s="129"/>
    </row>
    <row r="322">
      <c r="A322" s="114"/>
      <c r="C322" s="29"/>
      <c r="D322" s="114"/>
      <c r="I322" s="129"/>
    </row>
    <row r="323">
      <c r="A323" s="114"/>
      <c r="C323" s="29"/>
      <c r="D323" s="114"/>
      <c r="I323" s="129"/>
    </row>
    <row r="324">
      <c r="A324" s="114"/>
      <c r="C324" s="29"/>
      <c r="D324" s="114"/>
      <c r="I324" s="129"/>
    </row>
    <row r="325">
      <c r="A325" s="114"/>
      <c r="C325" s="29"/>
      <c r="D325" s="114"/>
      <c r="I325" s="129"/>
    </row>
    <row r="326">
      <c r="A326" s="114"/>
      <c r="C326" s="29"/>
      <c r="D326" s="114"/>
      <c r="I326" s="129"/>
    </row>
    <row r="327">
      <c r="A327" s="114"/>
      <c r="C327" s="29"/>
      <c r="D327" s="114"/>
      <c r="I327" s="129"/>
    </row>
    <row r="328">
      <c r="A328" s="114"/>
      <c r="C328" s="29"/>
      <c r="D328" s="114"/>
      <c r="I328" s="129"/>
    </row>
    <row r="329">
      <c r="A329" s="114"/>
      <c r="C329" s="29"/>
      <c r="D329" s="114"/>
      <c r="I329" s="129"/>
    </row>
    <row r="330">
      <c r="A330" s="114"/>
      <c r="C330" s="29"/>
      <c r="D330" s="114"/>
      <c r="I330" s="129"/>
    </row>
    <row r="331">
      <c r="A331" s="114"/>
      <c r="C331" s="29"/>
      <c r="D331" s="114"/>
      <c r="I331" s="129"/>
    </row>
    <row r="332">
      <c r="A332" s="114"/>
      <c r="C332" s="29"/>
      <c r="D332" s="114"/>
      <c r="I332" s="129"/>
    </row>
    <row r="333">
      <c r="A333" s="114"/>
      <c r="C333" s="29"/>
      <c r="D333" s="114"/>
      <c r="I333" s="129"/>
    </row>
    <row r="334">
      <c r="A334" s="114"/>
      <c r="C334" s="29"/>
      <c r="D334" s="114"/>
      <c r="I334" s="129"/>
    </row>
    <row r="335">
      <c r="A335" s="114"/>
      <c r="C335" s="29"/>
      <c r="D335" s="114"/>
      <c r="I335" s="129"/>
    </row>
    <row r="336">
      <c r="A336" s="114"/>
      <c r="C336" s="29"/>
      <c r="D336" s="114"/>
      <c r="I336" s="129"/>
    </row>
    <row r="337">
      <c r="A337" s="114"/>
      <c r="C337" s="29"/>
      <c r="D337" s="114"/>
      <c r="I337" s="129"/>
    </row>
    <row r="338">
      <c r="A338" s="114"/>
      <c r="C338" s="29"/>
      <c r="D338" s="114"/>
      <c r="I338" s="129"/>
    </row>
    <row r="339">
      <c r="A339" s="114"/>
      <c r="C339" s="29"/>
      <c r="D339" s="114"/>
      <c r="I339" s="129"/>
    </row>
    <row r="340">
      <c r="A340" s="114"/>
      <c r="C340" s="29"/>
      <c r="D340" s="114"/>
      <c r="I340" s="129"/>
    </row>
    <row r="341">
      <c r="A341" s="114"/>
      <c r="C341" s="29"/>
      <c r="D341" s="114"/>
      <c r="I341" s="129"/>
    </row>
    <row r="342">
      <c r="A342" s="114"/>
      <c r="C342" s="29"/>
      <c r="D342" s="114"/>
      <c r="I342" s="129"/>
    </row>
    <row r="343">
      <c r="A343" s="114"/>
      <c r="C343" s="29"/>
      <c r="D343" s="114"/>
      <c r="I343" s="129"/>
    </row>
    <row r="344">
      <c r="A344" s="114"/>
      <c r="C344" s="29"/>
      <c r="D344" s="114"/>
      <c r="I344" s="129"/>
    </row>
    <row r="345">
      <c r="A345" s="114"/>
      <c r="C345" s="29"/>
      <c r="D345" s="114"/>
      <c r="I345" s="129"/>
    </row>
    <row r="346">
      <c r="A346" s="114"/>
      <c r="C346" s="29"/>
      <c r="D346" s="114"/>
      <c r="I346" s="129"/>
    </row>
    <row r="347">
      <c r="A347" s="114"/>
      <c r="C347" s="29"/>
      <c r="D347" s="114"/>
      <c r="I347" s="129"/>
    </row>
    <row r="348">
      <c r="A348" s="114"/>
      <c r="C348" s="29"/>
      <c r="D348" s="114"/>
      <c r="I348" s="129"/>
    </row>
    <row r="349">
      <c r="A349" s="114"/>
      <c r="C349" s="29"/>
      <c r="D349" s="114"/>
      <c r="I349" s="129"/>
    </row>
    <row r="350">
      <c r="A350" s="114"/>
      <c r="C350" s="29"/>
      <c r="D350" s="114"/>
      <c r="I350" s="129"/>
    </row>
    <row r="351">
      <c r="A351" s="114"/>
      <c r="C351" s="29"/>
      <c r="D351" s="114"/>
      <c r="I351" s="129"/>
    </row>
    <row r="352">
      <c r="A352" s="114"/>
      <c r="C352" s="29"/>
      <c r="D352" s="114"/>
      <c r="I352" s="129"/>
    </row>
    <row r="353">
      <c r="A353" s="114"/>
      <c r="C353" s="29"/>
      <c r="D353" s="114"/>
      <c r="I353" s="129"/>
    </row>
    <row r="354">
      <c r="A354" s="114"/>
      <c r="C354" s="29"/>
      <c r="D354" s="114"/>
      <c r="I354" s="129"/>
    </row>
    <row r="355">
      <c r="A355" s="114"/>
      <c r="C355" s="29"/>
      <c r="D355" s="114"/>
      <c r="I355" s="129"/>
    </row>
    <row r="356">
      <c r="A356" s="114"/>
      <c r="C356" s="29"/>
      <c r="D356" s="114"/>
      <c r="I356" s="129"/>
    </row>
    <row r="357">
      <c r="A357" s="114"/>
      <c r="C357" s="29"/>
      <c r="D357" s="114"/>
      <c r="I357" s="129"/>
    </row>
    <row r="358">
      <c r="A358" s="114"/>
      <c r="C358" s="29"/>
      <c r="D358" s="114"/>
      <c r="I358" s="129"/>
    </row>
    <row r="359">
      <c r="A359" s="114"/>
      <c r="C359" s="29"/>
      <c r="D359" s="114"/>
      <c r="I359" s="129"/>
    </row>
    <row r="360">
      <c r="A360" s="114"/>
      <c r="C360" s="29"/>
      <c r="D360" s="114"/>
      <c r="I360" s="129"/>
    </row>
    <row r="361">
      <c r="A361" s="114"/>
      <c r="C361" s="29"/>
      <c r="D361" s="114"/>
      <c r="I361" s="129"/>
    </row>
    <row r="362">
      <c r="A362" s="114"/>
      <c r="C362" s="29"/>
      <c r="D362" s="114"/>
      <c r="I362" s="129"/>
    </row>
    <row r="363">
      <c r="A363" s="114"/>
      <c r="C363" s="29"/>
      <c r="D363" s="114"/>
      <c r="I363" s="129"/>
    </row>
    <row r="364">
      <c r="A364" s="114"/>
      <c r="C364" s="29"/>
      <c r="D364" s="114"/>
      <c r="I364" s="129"/>
    </row>
    <row r="365">
      <c r="A365" s="114"/>
      <c r="C365" s="29"/>
      <c r="D365" s="114"/>
      <c r="I365" s="129"/>
    </row>
    <row r="366">
      <c r="A366" s="114"/>
      <c r="C366" s="29"/>
      <c r="D366" s="114"/>
      <c r="I366" s="129"/>
    </row>
    <row r="367">
      <c r="A367" s="114"/>
      <c r="C367" s="29"/>
      <c r="D367" s="114"/>
      <c r="I367" s="129"/>
    </row>
    <row r="368">
      <c r="A368" s="114"/>
      <c r="C368" s="29"/>
      <c r="D368" s="114"/>
      <c r="I368" s="129"/>
    </row>
    <row r="369">
      <c r="A369" s="114"/>
      <c r="C369" s="29"/>
      <c r="D369" s="114"/>
      <c r="I369" s="129"/>
    </row>
    <row r="370">
      <c r="A370" s="114"/>
      <c r="C370" s="29"/>
      <c r="D370" s="114"/>
      <c r="I370" s="129"/>
    </row>
    <row r="371">
      <c r="A371" s="114"/>
      <c r="C371" s="29"/>
      <c r="D371" s="114"/>
      <c r="I371" s="129"/>
    </row>
    <row r="372">
      <c r="A372" s="114"/>
      <c r="C372" s="29"/>
      <c r="D372" s="114"/>
      <c r="I372" s="129"/>
    </row>
    <row r="373">
      <c r="A373" s="114"/>
      <c r="C373" s="29"/>
      <c r="D373" s="114"/>
      <c r="I373" s="129"/>
    </row>
    <row r="374">
      <c r="A374" s="114"/>
      <c r="C374" s="29"/>
      <c r="D374" s="114"/>
      <c r="I374" s="129"/>
    </row>
    <row r="375">
      <c r="A375" s="114"/>
      <c r="C375" s="29"/>
      <c r="D375" s="114"/>
      <c r="I375" s="129"/>
    </row>
    <row r="376">
      <c r="A376" s="114"/>
      <c r="C376" s="29"/>
      <c r="D376" s="114"/>
      <c r="I376" s="129"/>
    </row>
    <row r="377">
      <c r="A377" s="114"/>
      <c r="C377" s="29"/>
      <c r="D377" s="114"/>
      <c r="I377" s="129"/>
    </row>
    <row r="378">
      <c r="A378" s="114"/>
      <c r="C378" s="29"/>
      <c r="D378" s="114"/>
      <c r="I378" s="129"/>
    </row>
    <row r="379">
      <c r="A379" s="114"/>
      <c r="C379" s="29"/>
      <c r="D379" s="114"/>
      <c r="I379" s="129"/>
    </row>
    <row r="380">
      <c r="A380" s="114"/>
      <c r="C380" s="29"/>
      <c r="D380" s="114"/>
      <c r="I380" s="129"/>
    </row>
    <row r="381">
      <c r="A381" s="114"/>
      <c r="C381" s="29"/>
      <c r="D381" s="114"/>
      <c r="I381" s="129"/>
    </row>
    <row r="382">
      <c r="A382" s="114"/>
      <c r="C382" s="29"/>
      <c r="D382" s="114"/>
      <c r="I382" s="129"/>
    </row>
    <row r="383">
      <c r="A383" s="114"/>
      <c r="C383" s="29"/>
      <c r="D383" s="114"/>
      <c r="I383" s="129"/>
    </row>
    <row r="384">
      <c r="A384" s="114"/>
      <c r="C384" s="29"/>
      <c r="D384" s="114"/>
      <c r="I384" s="129"/>
    </row>
    <row r="385">
      <c r="A385" s="114"/>
      <c r="C385" s="29"/>
      <c r="D385" s="114"/>
      <c r="I385" s="129"/>
    </row>
    <row r="386">
      <c r="A386" s="114"/>
      <c r="C386" s="29"/>
      <c r="D386" s="114"/>
      <c r="I386" s="129"/>
    </row>
    <row r="387">
      <c r="A387" s="114"/>
      <c r="C387" s="29"/>
      <c r="D387" s="114"/>
      <c r="I387" s="129"/>
    </row>
    <row r="388">
      <c r="A388" s="114"/>
      <c r="C388" s="29"/>
      <c r="D388" s="114"/>
      <c r="I388" s="129"/>
    </row>
    <row r="389">
      <c r="A389" s="114"/>
      <c r="C389" s="29"/>
      <c r="D389" s="114"/>
      <c r="I389" s="129"/>
    </row>
    <row r="390">
      <c r="A390" s="114"/>
      <c r="C390" s="29"/>
      <c r="D390" s="114"/>
      <c r="I390" s="129"/>
    </row>
    <row r="391">
      <c r="A391" s="114"/>
      <c r="C391" s="29"/>
      <c r="D391" s="114"/>
      <c r="I391" s="129"/>
    </row>
    <row r="392">
      <c r="A392" s="114"/>
      <c r="C392" s="29"/>
      <c r="D392" s="114"/>
      <c r="I392" s="129"/>
    </row>
    <row r="393">
      <c r="A393" s="114"/>
      <c r="C393" s="29"/>
      <c r="D393" s="114"/>
      <c r="I393" s="129"/>
    </row>
    <row r="394">
      <c r="A394" s="114"/>
      <c r="C394" s="29"/>
      <c r="D394" s="114"/>
      <c r="I394" s="129"/>
    </row>
    <row r="395">
      <c r="A395" s="114"/>
      <c r="C395" s="29"/>
      <c r="D395" s="114"/>
      <c r="I395" s="129"/>
    </row>
    <row r="396">
      <c r="A396" s="114"/>
      <c r="C396" s="29"/>
      <c r="D396" s="114"/>
      <c r="I396" s="129"/>
    </row>
    <row r="397">
      <c r="A397" s="114"/>
      <c r="C397" s="29"/>
      <c r="D397" s="114"/>
      <c r="I397" s="129"/>
    </row>
    <row r="398">
      <c r="A398" s="114"/>
      <c r="C398" s="29"/>
      <c r="D398" s="114"/>
      <c r="I398" s="129"/>
    </row>
    <row r="399">
      <c r="A399" s="114"/>
      <c r="C399" s="29"/>
      <c r="D399" s="114"/>
      <c r="I399" s="129"/>
    </row>
    <row r="400">
      <c r="A400" s="114"/>
      <c r="C400" s="29"/>
      <c r="D400" s="114"/>
      <c r="I400" s="129"/>
    </row>
    <row r="401">
      <c r="A401" s="114"/>
      <c r="C401" s="29"/>
      <c r="D401" s="114"/>
      <c r="I401" s="129"/>
    </row>
    <row r="402">
      <c r="A402" s="114"/>
      <c r="C402" s="29"/>
      <c r="D402" s="114"/>
      <c r="I402" s="129"/>
    </row>
    <row r="403">
      <c r="A403" s="114"/>
      <c r="C403" s="29"/>
      <c r="D403" s="114"/>
      <c r="I403" s="129"/>
    </row>
    <row r="404">
      <c r="A404" s="114"/>
      <c r="C404" s="29"/>
      <c r="D404" s="114"/>
      <c r="I404" s="129"/>
    </row>
    <row r="405">
      <c r="A405" s="114"/>
      <c r="C405" s="29"/>
      <c r="D405" s="114"/>
      <c r="I405" s="129"/>
    </row>
    <row r="406">
      <c r="A406" s="114"/>
      <c r="C406" s="29"/>
      <c r="D406" s="114"/>
      <c r="I406" s="129"/>
    </row>
    <row r="407">
      <c r="A407" s="114"/>
      <c r="C407" s="29"/>
      <c r="D407" s="114"/>
      <c r="I407" s="129"/>
    </row>
    <row r="408">
      <c r="A408" s="114"/>
      <c r="C408" s="29"/>
      <c r="D408" s="114"/>
      <c r="I408" s="129"/>
    </row>
    <row r="409">
      <c r="A409" s="114"/>
      <c r="C409" s="29"/>
      <c r="D409" s="114"/>
      <c r="I409" s="129"/>
    </row>
    <row r="410">
      <c r="A410" s="114"/>
      <c r="C410" s="29"/>
      <c r="D410" s="114"/>
      <c r="I410" s="129"/>
    </row>
    <row r="411">
      <c r="A411" s="114"/>
      <c r="C411" s="29"/>
      <c r="D411" s="114"/>
      <c r="I411" s="129"/>
    </row>
    <row r="412">
      <c r="A412" s="114"/>
      <c r="C412" s="29"/>
      <c r="D412" s="114"/>
      <c r="I412" s="129"/>
    </row>
    <row r="413">
      <c r="A413" s="114"/>
      <c r="C413" s="29"/>
      <c r="D413" s="114"/>
      <c r="I413" s="129"/>
    </row>
    <row r="414">
      <c r="A414" s="114"/>
      <c r="C414" s="29"/>
      <c r="D414" s="114"/>
      <c r="I414" s="129"/>
    </row>
    <row r="415">
      <c r="A415" s="114"/>
      <c r="C415" s="29"/>
      <c r="D415" s="114"/>
      <c r="I415" s="129"/>
    </row>
    <row r="416">
      <c r="A416" s="114"/>
      <c r="C416" s="29"/>
      <c r="D416" s="114"/>
      <c r="I416" s="129"/>
    </row>
    <row r="417">
      <c r="A417" s="114"/>
      <c r="C417" s="29"/>
      <c r="D417" s="114"/>
      <c r="I417" s="129"/>
    </row>
    <row r="418">
      <c r="A418" s="114"/>
      <c r="C418" s="29"/>
      <c r="D418" s="114"/>
      <c r="I418" s="129"/>
    </row>
    <row r="419">
      <c r="A419" s="114"/>
      <c r="C419" s="29"/>
      <c r="D419" s="114"/>
      <c r="I419" s="129"/>
    </row>
    <row r="420">
      <c r="A420" s="114"/>
      <c r="C420" s="29"/>
      <c r="D420" s="114"/>
      <c r="I420" s="129"/>
    </row>
    <row r="421">
      <c r="A421" s="114"/>
      <c r="C421" s="29"/>
      <c r="D421" s="114"/>
      <c r="I421" s="129"/>
    </row>
    <row r="422">
      <c r="A422" s="114"/>
      <c r="C422" s="29"/>
      <c r="D422" s="114"/>
      <c r="I422" s="129"/>
    </row>
    <row r="423">
      <c r="A423" s="114"/>
      <c r="C423" s="29"/>
      <c r="D423" s="114"/>
      <c r="I423" s="129"/>
    </row>
    <row r="424">
      <c r="A424" s="114"/>
      <c r="C424" s="29"/>
      <c r="D424" s="114"/>
      <c r="I424" s="129"/>
    </row>
    <row r="425">
      <c r="A425" s="114"/>
      <c r="C425" s="29"/>
      <c r="D425" s="114"/>
      <c r="I425" s="129"/>
    </row>
    <row r="426">
      <c r="A426" s="114"/>
      <c r="C426" s="29"/>
      <c r="D426" s="114"/>
      <c r="I426" s="129"/>
    </row>
    <row r="427">
      <c r="A427" s="114"/>
      <c r="C427" s="29"/>
      <c r="D427" s="114"/>
      <c r="I427" s="129"/>
    </row>
    <row r="428">
      <c r="A428" s="114"/>
      <c r="C428" s="29"/>
      <c r="D428" s="114"/>
      <c r="I428" s="129"/>
    </row>
    <row r="429">
      <c r="A429" s="114"/>
      <c r="C429" s="29"/>
      <c r="D429" s="114"/>
      <c r="I429" s="129"/>
    </row>
    <row r="430">
      <c r="A430" s="114"/>
      <c r="C430" s="29"/>
      <c r="D430" s="114"/>
      <c r="I430" s="129"/>
    </row>
    <row r="431">
      <c r="A431" s="114"/>
      <c r="C431" s="29"/>
      <c r="D431" s="114"/>
      <c r="I431" s="129"/>
    </row>
    <row r="432">
      <c r="A432" s="114"/>
      <c r="C432" s="29"/>
      <c r="D432" s="114"/>
      <c r="I432" s="129"/>
    </row>
    <row r="433">
      <c r="A433" s="114"/>
      <c r="C433" s="29"/>
      <c r="D433" s="114"/>
      <c r="I433" s="129"/>
    </row>
    <row r="434">
      <c r="A434" s="114"/>
      <c r="C434" s="29"/>
      <c r="D434" s="114"/>
      <c r="I434" s="129"/>
    </row>
    <row r="435">
      <c r="A435" s="114"/>
      <c r="C435" s="29"/>
      <c r="D435" s="114"/>
      <c r="I435" s="129"/>
    </row>
    <row r="436">
      <c r="A436" s="114"/>
      <c r="C436" s="29"/>
      <c r="D436" s="114"/>
      <c r="I436" s="129"/>
    </row>
    <row r="437">
      <c r="A437" s="114"/>
      <c r="C437" s="29"/>
      <c r="D437" s="114"/>
      <c r="I437" s="129"/>
    </row>
    <row r="438">
      <c r="A438" s="114"/>
      <c r="C438" s="29"/>
      <c r="D438" s="114"/>
      <c r="I438" s="129"/>
    </row>
    <row r="439">
      <c r="A439" s="114"/>
      <c r="C439" s="29"/>
      <c r="D439" s="114"/>
      <c r="I439" s="129"/>
    </row>
    <row r="440">
      <c r="A440" s="114"/>
      <c r="C440" s="29"/>
      <c r="D440" s="114"/>
      <c r="I440" s="129"/>
    </row>
    <row r="441">
      <c r="A441" s="114"/>
      <c r="C441" s="29"/>
      <c r="D441" s="114"/>
      <c r="I441" s="129"/>
    </row>
    <row r="442">
      <c r="A442" s="114"/>
      <c r="C442" s="29"/>
      <c r="D442" s="114"/>
      <c r="I442" s="129"/>
    </row>
    <row r="443">
      <c r="A443" s="114"/>
      <c r="C443" s="29"/>
      <c r="D443" s="114"/>
      <c r="I443" s="129"/>
    </row>
    <row r="444">
      <c r="A444" s="114"/>
      <c r="C444" s="29"/>
      <c r="D444" s="114"/>
      <c r="I444" s="129"/>
    </row>
    <row r="445">
      <c r="A445" s="114"/>
      <c r="C445" s="29"/>
      <c r="D445" s="114"/>
      <c r="I445" s="129"/>
    </row>
    <row r="446">
      <c r="A446" s="114"/>
      <c r="C446" s="29"/>
      <c r="D446" s="114"/>
      <c r="I446" s="129"/>
    </row>
    <row r="447">
      <c r="A447" s="114"/>
      <c r="C447" s="29"/>
      <c r="D447" s="114"/>
      <c r="I447" s="129"/>
    </row>
    <row r="448">
      <c r="A448" s="114"/>
      <c r="C448" s="29"/>
      <c r="D448" s="114"/>
      <c r="I448" s="129"/>
    </row>
    <row r="449">
      <c r="A449" s="114"/>
      <c r="C449" s="29"/>
      <c r="D449" s="114"/>
      <c r="I449" s="129"/>
    </row>
    <row r="450">
      <c r="A450" s="114"/>
      <c r="C450" s="29"/>
      <c r="D450" s="114"/>
      <c r="I450" s="129"/>
    </row>
    <row r="451">
      <c r="A451" s="114"/>
      <c r="C451" s="29"/>
      <c r="D451" s="114"/>
      <c r="I451" s="129"/>
    </row>
    <row r="452">
      <c r="A452" s="114"/>
      <c r="C452" s="29"/>
      <c r="D452" s="114"/>
      <c r="I452" s="129"/>
    </row>
    <row r="453">
      <c r="A453" s="114"/>
      <c r="C453" s="29"/>
      <c r="D453" s="114"/>
      <c r="I453" s="129"/>
    </row>
    <row r="454">
      <c r="A454" s="114"/>
      <c r="C454" s="29"/>
      <c r="D454" s="114"/>
      <c r="I454" s="129"/>
    </row>
    <row r="455">
      <c r="A455" s="114"/>
      <c r="C455" s="29"/>
      <c r="D455" s="114"/>
      <c r="I455" s="129"/>
    </row>
    <row r="456">
      <c r="A456" s="114"/>
      <c r="C456" s="29"/>
      <c r="D456" s="114"/>
      <c r="I456" s="129"/>
    </row>
    <row r="457">
      <c r="A457" s="114"/>
      <c r="C457" s="29"/>
      <c r="D457" s="114"/>
      <c r="I457" s="129"/>
    </row>
    <row r="458">
      <c r="A458" s="114"/>
      <c r="C458" s="29"/>
      <c r="D458" s="114"/>
      <c r="I458" s="129"/>
    </row>
    <row r="459">
      <c r="A459" s="114"/>
      <c r="C459" s="29"/>
      <c r="D459" s="114"/>
      <c r="I459" s="129"/>
    </row>
    <row r="460">
      <c r="A460" s="114"/>
      <c r="C460" s="29"/>
      <c r="D460" s="114"/>
      <c r="I460" s="129"/>
    </row>
    <row r="461">
      <c r="A461" s="114"/>
      <c r="C461" s="29"/>
      <c r="D461" s="114"/>
      <c r="I461" s="129"/>
    </row>
    <row r="462">
      <c r="A462" s="114"/>
      <c r="C462" s="29"/>
      <c r="D462" s="114"/>
      <c r="I462" s="129"/>
    </row>
    <row r="463">
      <c r="A463" s="114"/>
      <c r="C463" s="29"/>
      <c r="D463" s="114"/>
      <c r="I463" s="129"/>
    </row>
    <row r="464">
      <c r="A464" s="114"/>
      <c r="C464" s="29"/>
      <c r="D464" s="114"/>
      <c r="I464" s="129"/>
    </row>
    <row r="465">
      <c r="A465" s="114"/>
      <c r="C465" s="29"/>
      <c r="D465" s="114"/>
      <c r="I465" s="129"/>
    </row>
    <row r="466">
      <c r="A466" s="114"/>
      <c r="C466" s="29"/>
      <c r="D466" s="114"/>
      <c r="I466" s="129"/>
    </row>
    <row r="467">
      <c r="A467" s="114"/>
      <c r="C467" s="29"/>
      <c r="D467" s="114"/>
      <c r="I467" s="129"/>
    </row>
    <row r="468">
      <c r="A468" s="114"/>
      <c r="C468" s="29"/>
      <c r="D468" s="114"/>
      <c r="I468" s="129"/>
    </row>
    <row r="469">
      <c r="A469" s="114"/>
      <c r="C469" s="29"/>
      <c r="D469" s="114"/>
      <c r="I469" s="129"/>
    </row>
    <row r="470">
      <c r="A470" s="114"/>
      <c r="C470" s="29"/>
      <c r="D470" s="114"/>
      <c r="I470" s="129"/>
    </row>
    <row r="471">
      <c r="A471" s="114"/>
      <c r="C471" s="29"/>
      <c r="D471" s="114"/>
      <c r="I471" s="129"/>
    </row>
    <row r="472">
      <c r="A472" s="114"/>
      <c r="C472" s="29"/>
      <c r="D472" s="114"/>
      <c r="I472" s="129"/>
    </row>
    <row r="473">
      <c r="A473" s="114"/>
      <c r="C473" s="29"/>
      <c r="D473" s="114"/>
      <c r="I473" s="129"/>
    </row>
    <row r="474">
      <c r="A474" s="114"/>
      <c r="C474" s="29"/>
      <c r="D474" s="114"/>
      <c r="I474" s="129"/>
    </row>
    <row r="475">
      <c r="A475" s="114"/>
      <c r="C475" s="29"/>
      <c r="D475" s="114"/>
      <c r="I475" s="129"/>
    </row>
    <row r="476">
      <c r="A476" s="114"/>
      <c r="C476" s="29"/>
      <c r="D476" s="114"/>
      <c r="I476" s="129"/>
    </row>
    <row r="477">
      <c r="A477" s="114"/>
      <c r="C477" s="29"/>
      <c r="D477" s="114"/>
      <c r="I477" s="129"/>
    </row>
    <row r="478">
      <c r="A478" s="114"/>
      <c r="C478" s="29"/>
      <c r="D478" s="114"/>
      <c r="I478" s="129"/>
    </row>
    <row r="479">
      <c r="A479" s="114"/>
      <c r="C479" s="29"/>
      <c r="D479" s="114"/>
      <c r="I479" s="129"/>
    </row>
    <row r="480">
      <c r="A480" s="114"/>
      <c r="C480" s="29"/>
      <c r="D480" s="114"/>
      <c r="I480" s="129"/>
    </row>
    <row r="481">
      <c r="A481" s="114"/>
      <c r="C481" s="29"/>
      <c r="D481" s="114"/>
      <c r="I481" s="129"/>
    </row>
    <row r="482">
      <c r="A482" s="114"/>
      <c r="C482" s="29"/>
      <c r="D482" s="114"/>
      <c r="I482" s="129"/>
    </row>
    <row r="483">
      <c r="A483" s="114"/>
      <c r="C483" s="29"/>
      <c r="D483" s="114"/>
      <c r="I483" s="129"/>
    </row>
    <row r="484">
      <c r="A484" s="114"/>
      <c r="C484" s="29"/>
      <c r="D484" s="114"/>
      <c r="I484" s="129"/>
    </row>
    <row r="485">
      <c r="A485" s="114"/>
      <c r="C485" s="29"/>
      <c r="D485" s="114"/>
      <c r="I485" s="129"/>
    </row>
    <row r="486">
      <c r="A486" s="114"/>
      <c r="C486" s="29"/>
      <c r="D486" s="114"/>
      <c r="I486" s="129"/>
    </row>
    <row r="487">
      <c r="A487" s="114"/>
      <c r="C487" s="29"/>
      <c r="D487" s="114"/>
      <c r="I487" s="129"/>
    </row>
    <row r="488">
      <c r="A488" s="114"/>
      <c r="C488" s="29"/>
      <c r="D488" s="114"/>
      <c r="I488" s="129"/>
    </row>
    <row r="489">
      <c r="A489" s="114"/>
      <c r="C489" s="29"/>
      <c r="D489" s="114"/>
      <c r="I489" s="129"/>
    </row>
    <row r="490">
      <c r="A490" s="114"/>
      <c r="C490" s="29"/>
      <c r="D490" s="114"/>
      <c r="I490" s="129"/>
    </row>
    <row r="491">
      <c r="A491" s="114"/>
      <c r="C491" s="29"/>
      <c r="D491" s="114"/>
      <c r="I491" s="129"/>
    </row>
    <row r="492">
      <c r="A492" s="114"/>
      <c r="C492" s="29"/>
      <c r="D492" s="114"/>
      <c r="I492" s="129"/>
    </row>
    <row r="493">
      <c r="A493" s="114"/>
      <c r="C493" s="29"/>
      <c r="D493" s="114"/>
      <c r="I493" s="129"/>
    </row>
    <row r="494">
      <c r="A494" s="114"/>
      <c r="C494" s="29"/>
      <c r="D494" s="114"/>
      <c r="I494" s="129"/>
    </row>
    <row r="495">
      <c r="A495" s="114"/>
      <c r="C495" s="29"/>
      <c r="D495" s="114"/>
      <c r="I495" s="129"/>
    </row>
    <row r="496">
      <c r="A496" s="114"/>
      <c r="C496" s="29"/>
      <c r="D496" s="114"/>
      <c r="I496" s="129"/>
    </row>
    <row r="497">
      <c r="A497" s="114"/>
      <c r="C497" s="29"/>
      <c r="D497" s="114"/>
      <c r="I497" s="129"/>
    </row>
    <row r="498">
      <c r="A498" s="114"/>
      <c r="C498" s="29"/>
      <c r="D498" s="114"/>
      <c r="I498" s="129"/>
    </row>
    <row r="499">
      <c r="A499" s="114"/>
      <c r="C499" s="29"/>
      <c r="D499" s="114"/>
      <c r="I499" s="129"/>
    </row>
    <row r="500">
      <c r="A500" s="114"/>
      <c r="C500" s="29"/>
      <c r="D500" s="114"/>
      <c r="I500" s="129"/>
    </row>
    <row r="501">
      <c r="A501" s="114"/>
      <c r="C501" s="29"/>
      <c r="D501" s="114"/>
      <c r="I501" s="129"/>
    </row>
    <row r="502">
      <c r="A502" s="114"/>
      <c r="C502" s="29"/>
      <c r="D502" s="114"/>
      <c r="I502" s="129"/>
    </row>
    <row r="503">
      <c r="A503" s="114"/>
      <c r="C503" s="29"/>
      <c r="D503" s="114"/>
      <c r="I503" s="129"/>
    </row>
    <row r="504">
      <c r="A504" s="114"/>
      <c r="C504" s="29"/>
      <c r="D504" s="114"/>
      <c r="I504" s="129"/>
    </row>
    <row r="505">
      <c r="A505" s="114"/>
      <c r="C505" s="29"/>
      <c r="D505" s="114"/>
      <c r="I505" s="129"/>
    </row>
    <row r="506">
      <c r="A506" s="114"/>
      <c r="C506" s="29"/>
      <c r="D506" s="114"/>
      <c r="I506" s="129"/>
    </row>
    <row r="507">
      <c r="A507" s="114"/>
      <c r="C507" s="29"/>
      <c r="D507" s="114"/>
      <c r="I507" s="129"/>
    </row>
    <row r="508">
      <c r="A508" s="114"/>
      <c r="C508" s="29"/>
      <c r="D508" s="114"/>
      <c r="I508" s="129"/>
    </row>
    <row r="509">
      <c r="A509" s="114"/>
      <c r="C509" s="29"/>
      <c r="D509" s="114"/>
      <c r="I509" s="129"/>
    </row>
    <row r="510">
      <c r="A510" s="114"/>
      <c r="C510" s="29"/>
      <c r="D510" s="114"/>
      <c r="I510" s="129"/>
    </row>
    <row r="511">
      <c r="A511" s="114"/>
      <c r="C511" s="29"/>
      <c r="D511" s="114"/>
      <c r="I511" s="129"/>
    </row>
    <row r="512">
      <c r="A512" s="114"/>
      <c r="C512" s="29"/>
      <c r="D512" s="114"/>
      <c r="I512" s="129"/>
    </row>
    <row r="513">
      <c r="A513" s="114"/>
      <c r="C513" s="29"/>
      <c r="D513" s="114"/>
      <c r="I513" s="129"/>
    </row>
    <row r="514">
      <c r="A514" s="114"/>
      <c r="C514" s="29"/>
      <c r="D514" s="114"/>
      <c r="I514" s="129"/>
    </row>
    <row r="515">
      <c r="A515" s="114"/>
      <c r="C515" s="29"/>
      <c r="D515" s="114"/>
      <c r="I515" s="129"/>
    </row>
    <row r="516">
      <c r="A516" s="114"/>
      <c r="C516" s="29"/>
      <c r="D516" s="114"/>
      <c r="I516" s="129"/>
    </row>
    <row r="517">
      <c r="A517" s="114"/>
      <c r="C517" s="29"/>
      <c r="D517" s="114"/>
      <c r="I517" s="129"/>
    </row>
    <row r="518">
      <c r="A518" s="114"/>
      <c r="C518" s="29"/>
      <c r="D518" s="114"/>
      <c r="I518" s="129"/>
    </row>
    <row r="519">
      <c r="A519" s="114"/>
      <c r="C519" s="29"/>
      <c r="D519" s="114"/>
      <c r="I519" s="129"/>
    </row>
    <row r="520">
      <c r="A520" s="114"/>
      <c r="C520" s="29"/>
      <c r="D520" s="114"/>
      <c r="I520" s="129"/>
    </row>
    <row r="521">
      <c r="A521" s="114"/>
      <c r="C521" s="29"/>
      <c r="D521" s="114"/>
      <c r="I521" s="129"/>
    </row>
    <row r="522">
      <c r="A522" s="114"/>
      <c r="C522" s="29"/>
      <c r="D522" s="114"/>
      <c r="I522" s="129"/>
    </row>
    <row r="523">
      <c r="A523" s="114"/>
      <c r="C523" s="29"/>
      <c r="D523" s="114"/>
      <c r="I523" s="129"/>
    </row>
    <row r="524">
      <c r="A524" s="114"/>
      <c r="C524" s="29"/>
      <c r="D524" s="114"/>
      <c r="I524" s="129"/>
    </row>
    <row r="525">
      <c r="A525" s="114"/>
      <c r="C525" s="29"/>
      <c r="D525" s="114"/>
      <c r="I525" s="129"/>
    </row>
    <row r="526">
      <c r="A526" s="114"/>
      <c r="C526" s="29"/>
      <c r="D526" s="114"/>
      <c r="I526" s="129"/>
    </row>
    <row r="527">
      <c r="A527" s="114"/>
      <c r="C527" s="29"/>
      <c r="D527" s="114"/>
      <c r="I527" s="129"/>
    </row>
    <row r="528">
      <c r="A528" s="114"/>
      <c r="C528" s="29"/>
      <c r="D528" s="114"/>
      <c r="I528" s="129"/>
    </row>
    <row r="529">
      <c r="A529" s="114"/>
      <c r="C529" s="29"/>
      <c r="D529" s="114"/>
      <c r="I529" s="129"/>
    </row>
    <row r="530">
      <c r="A530" s="114"/>
      <c r="C530" s="29"/>
      <c r="D530" s="114"/>
      <c r="I530" s="129"/>
    </row>
    <row r="531">
      <c r="A531" s="114"/>
      <c r="C531" s="29"/>
      <c r="D531" s="114"/>
      <c r="I531" s="129"/>
    </row>
    <row r="532">
      <c r="A532" s="114"/>
      <c r="C532" s="29"/>
      <c r="D532" s="114"/>
      <c r="I532" s="129"/>
    </row>
    <row r="533">
      <c r="A533" s="114"/>
      <c r="C533" s="29"/>
      <c r="D533" s="114"/>
      <c r="I533" s="129"/>
    </row>
    <row r="534">
      <c r="A534" s="114"/>
      <c r="C534" s="29"/>
      <c r="D534" s="114"/>
      <c r="I534" s="129"/>
    </row>
    <row r="535">
      <c r="A535" s="114"/>
      <c r="C535" s="29"/>
      <c r="D535" s="114"/>
      <c r="I535" s="129"/>
    </row>
    <row r="536">
      <c r="A536" s="114"/>
      <c r="C536" s="29"/>
      <c r="D536" s="114"/>
      <c r="I536" s="129"/>
    </row>
    <row r="537">
      <c r="A537" s="114"/>
      <c r="C537" s="29"/>
      <c r="D537" s="114"/>
      <c r="I537" s="129"/>
    </row>
    <row r="538">
      <c r="A538" s="114"/>
      <c r="C538" s="29"/>
      <c r="D538" s="114"/>
      <c r="I538" s="129"/>
    </row>
    <row r="539">
      <c r="A539" s="114"/>
      <c r="C539" s="29"/>
      <c r="D539" s="114"/>
      <c r="I539" s="129"/>
    </row>
    <row r="540">
      <c r="A540" s="114"/>
      <c r="C540" s="29"/>
      <c r="D540" s="114"/>
      <c r="I540" s="129"/>
    </row>
    <row r="541">
      <c r="A541" s="114"/>
      <c r="C541" s="29"/>
      <c r="D541" s="114"/>
      <c r="I541" s="129"/>
    </row>
    <row r="542">
      <c r="A542" s="114"/>
      <c r="C542" s="29"/>
      <c r="D542" s="114"/>
      <c r="I542" s="129"/>
    </row>
    <row r="543">
      <c r="A543" s="114"/>
      <c r="C543" s="29"/>
      <c r="D543" s="114"/>
      <c r="I543" s="129"/>
    </row>
    <row r="544">
      <c r="A544" s="114"/>
      <c r="C544" s="29"/>
      <c r="D544" s="114"/>
      <c r="I544" s="129"/>
    </row>
    <row r="545">
      <c r="A545" s="114"/>
      <c r="C545" s="29"/>
      <c r="D545" s="114"/>
      <c r="I545" s="129"/>
    </row>
    <row r="546">
      <c r="A546" s="114"/>
      <c r="C546" s="29"/>
      <c r="D546" s="114"/>
      <c r="I546" s="129"/>
    </row>
    <row r="547">
      <c r="A547" s="114"/>
      <c r="C547" s="29"/>
      <c r="D547" s="114"/>
      <c r="I547" s="129"/>
    </row>
    <row r="548">
      <c r="A548" s="114"/>
      <c r="C548" s="29"/>
      <c r="D548" s="114"/>
      <c r="I548" s="129"/>
    </row>
    <row r="549">
      <c r="A549" s="114"/>
      <c r="C549" s="29"/>
      <c r="D549" s="114"/>
      <c r="I549" s="129"/>
    </row>
    <row r="550">
      <c r="A550" s="114"/>
      <c r="C550" s="29"/>
      <c r="D550" s="114"/>
      <c r="I550" s="129"/>
    </row>
    <row r="551">
      <c r="A551" s="114"/>
      <c r="C551" s="29"/>
      <c r="D551" s="114"/>
      <c r="I551" s="129"/>
    </row>
    <row r="552">
      <c r="A552" s="114"/>
      <c r="C552" s="29"/>
      <c r="D552" s="114"/>
      <c r="I552" s="129"/>
    </row>
    <row r="553">
      <c r="A553" s="114"/>
      <c r="C553" s="29"/>
      <c r="D553" s="114"/>
      <c r="I553" s="129"/>
    </row>
    <row r="554">
      <c r="A554" s="114"/>
      <c r="C554" s="29"/>
      <c r="D554" s="114"/>
      <c r="I554" s="129"/>
    </row>
    <row r="555">
      <c r="A555" s="114"/>
      <c r="C555" s="29"/>
      <c r="D555" s="114"/>
      <c r="I555" s="129"/>
    </row>
    <row r="556">
      <c r="A556" s="114"/>
      <c r="C556" s="29"/>
      <c r="D556" s="114"/>
      <c r="I556" s="129"/>
    </row>
    <row r="557">
      <c r="A557" s="114"/>
      <c r="C557" s="29"/>
      <c r="D557" s="114"/>
      <c r="I557" s="129"/>
    </row>
    <row r="558">
      <c r="A558" s="114"/>
      <c r="C558" s="29"/>
      <c r="D558" s="114"/>
      <c r="I558" s="129"/>
    </row>
    <row r="559">
      <c r="A559" s="114"/>
      <c r="C559" s="29"/>
      <c r="D559" s="114"/>
      <c r="I559" s="129"/>
    </row>
    <row r="560">
      <c r="A560" s="114"/>
      <c r="C560" s="29"/>
      <c r="D560" s="114"/>
      <c r="I560" s="129"/>
    </row>
    <row r="561">
      <c r="A561" s="114"/>
      <c r="C561" s="29"/>
      <c r="D561" s="114"/>
      <c r="I561" s="129"/>
    </row>
    <row r="562">
      <c r="A562" s="114"/>
      <c r="C562" s="29"/>
      <c r="D562" s="114"/>
      <c r="I562" s="129"/>
    </row>
    <row r="563">
      <c r="A563" s="114"/>
      <c r="C563" s="29"/>
      <c r="D563" s="114"/>
      <c r="I563" s="129"/>
    </row>
    <row r="564">
      <c r="A564" s="114"/>
      <c r="C564" s="29"/>
      <c r="D564" s="114"/>
      <c r="I564" s="129"/>
    </row>
    <row r="565">
      <c r="A565" s="114"/>
      <c r="C565" s="29"/>
      <c r="D565" s="114"/>
      <c r="I565" s="129"/>
    </row>
    <row r="566">
      <c r="A566" s="114"/>
      <c r="C566" s="29"/>
      <c r="D566" s="114"/>
      <c r="I566" s="129"/>
    </row>
    <row r="567">
      <c r="A567" s="114"/>
      <c r="C567" s="29"/>
      <c r="D567" s="114"/>
      <c r="I567" s="129"/>
    </row>
    <row r="568">
      <c r="A568" s="114"/>
      <c r="C568" s="29"/>
      <c r="D568" s="114"/>
      <c r="I568" s="129"/>
    </row>
    <row r="569">
      <c r="A569" s="114"/>
      <c r="C569" s="29"/>
      <c r="D569" s="114"/>
      <c r="I569" s="129"/>
    </row>
    <row r="570">
      <c r="A570" s="114"/>
      <c r="C570" s="29"/>
      <c r="D570" s="114"/>
      <c r="I570" s="129"/>
    </row>
    <row r="571">
      <c r="A571" s="114"/>
      <c r="C571" s="29"/>
      <c r="D571" s="114"/>
      <c r="I571" s="129"/>
    </row>
    <row r="572">
      <c r="A572" s="114"/>
      <c r="C572" s="29"/>
      <c r="D572" s="114"/>
      <c r="I572" s="129"/>
    </row>
    <row r="573">
      <c r="A573" s="114"/>
      <c r="C573" s="29"/>
      <c r="D573" s="114"/>
      <c r="I573" s="129"/>
    </row>
    <row r="574">
      <c r="A574" s="114"/>
      <c r="C574" s="29"/>
      <c r="D574" s="114"/>
      <c r="I574" s="129"/>
    </row>
    <row r="575">
      <c r="A575" s="114"/>
      <c r="C575" s="29"/>
      <c r="D575" s="114"/>
      <c r="I575" s="129"/>
    </row>
    <row r="576">
      <c r="A576" s="114"/>
      <c r="C576" s="29"/>
      <c r="D576" s="114"/>
      <c r="I576" s="129"/>
    </row>
    <row r="577">
      <c r="A577" s="114"/>
      <c r="C577" s="29"/>
      <c r="D577" s="114"/>
      <c r="I577" s="129"/>
    </row>
    <row r="578">
      <c r="A578" s="114"/>
      <c r="C578" s="29"/>
      <c r="D578" s="114"/>
      <c r="I578" s="129"/>
    </row>
    <row r="579">
      <c r="A579" s="114"/>
      <c r="C579" s="29"/>
      <c r="D579" s="114"/>
      <c r="I579" s="129"/>
    </row>
    <row r="580">
      <c r="A580" s="114"/>
      <c r="C580" s="29"/>
      <c r="D580" s="114"/>
      <c r="I580" s="129"/>
    </row>
    <row r="581">
      <c r="A581" s="114"/>
      <c r="C581" s="29"/>
      <c r="D581" s="114"/>
      <c r="I581" s="129"/>
    </row>
    <row r="582">
      <c r="A582" s="114"/>
      <c r="C582" s="29"/>
      <c r="D582" s="114"/>
      <c r="I582" s="129"/>
    </row>
    <row r="583">
      <c r="A583" s="114"/>
      <c r="C583" s="29"/>
      <c r="D583" s="114"/>
      <c r="I583" s="129"/>
    </row>
    <row r="584">
      <c r="A584" s="114"/>
      <c r="C584" s="29"/>
      <c r="D584" s="114"/>
      <c r="I584" s="129"/>
    </row>
    <row r="585">
      <c r="A585" s="114"/>
      <c r="C585" s="29"/>
      <c r="D585" s="114"/>
      <c r="I585" s="129"/>
    </row>
    <row r="586">
      <c r="A586" s="114"/>
      <c r="C586" s="29"/>
      <c r="D586" s="114"/>
      <c r="I586" s="129"/>
    </row>
    <row r="587">
      <c r="A587" s="114"/>
      <c r="C587" s="29"/>
      <c r="D587" s="114"/>
      <c r="I587" s="129"/>
    </row>
    <row r="588">
      <c r="A588" s="114"/>
      <c r="C588" s="29"/>
      <c r="D588" s="114"/>
      <c r="I588" s="129"/>
    </row>
    <row r="589">
      <c r="A589" s="114"/>
      <c r="C589" s="29"/>
      <c r="D589" s="114"/>
      <c r="I589" s="129"/>
    </row>
    <row r="590">
      <c r="A590" s="114"/>
      <c r="C590" s="29"/>
      <c r="D590" s="114"/>
      <c r="I590" s="129"/>
    </row>
    <row r="591">
      <c r="A591" s="114"/>
      <c r="C591" s="29"/>
      <c r="D591" s="114"/>
      <c r="I591" s="129"/>
    </row>
    <row r="592">
      <c r="A592" s="114"/>
      <c r="C592" s="29"/>
      <c r="D592" s="114"/>
      <c r="I592" s="129"/>
    </row>
    <row r="593">
      <c r="A593" s="114"/>
      <c r="C593" s="29"/>
      <c r="D593" s="114"/>
      <c r="I593" s="129"/>
    </row>
    <row r="594">
      <c r="A594" s="114"/>
      <c r="C594" s="29"/>
      <c r="D594" s="114"/>
      <c r="I594" s="129"/>
    </row>
    <row r="595">
      <c r="A595" s="114"/>
      <c r="C595" s="29"/>
      <c r="D595" s="114"/>
      <c r="I595" s="129"/>
    </row>
    <row r="596">
      <c r="A596" s="114"/>
      <c r="C596" s="29"/>
      <c r="D596" s="114"/>
      <c r="I596" s="129"/>
    </row>
    <row r="597">
      <c r="A597" s="114"/>
      <c r="C597" s="29"/>
      <c r="D597" s="114"/>
      <c r="I597" s="129"/>
    </row>
    <row r="598">
      <c r="A598" s="114"/>
      <c r="C598" s="29"/>
      <c r="D598" s="114"/>
      <c r="I598" s="129"/>
    </row>
    <row r="599">
      <c r="A599" s="114"/>
      <c r="C599" s="29"/>
      <c r="D599" s="114"/>
      <c r="I599" s="129"/>
    </row>
    <row r="600">
      <c r="A600" s="114"/>
      <c r="C600" s="29"/>
      <c r="D600" s="114"/>
      <c r="I600" s="129"/>
    </row>
    <row r="601">
      <c r="A601" s="114"/>
      <c r="C601" s="29"/>
      <c r="D601" s="114"/>
      <c r="I601" s="129"/>
    </row>
    <row r="602">
      <c r="A602" s="114"/>
      <c r="C602" s="29"/>
      <c r="D602" s="114"/>
      <c r="I602" s="129"/>
    </row>
    <row r="603">
      <c r="A603" s="114"/>
      <c r="C603" s="29"/>
      <c r="D603" s="114"/>
      <c r="I603" s="129"/>
    </row>
    <row r="604">
      <c r="A604" s="114"/>
      <c r="C604" s="29"/>
      <c r="D604" s="114"/>
      <c r="I604" s="129"/>
    </row>
    <row r="605">
      <c r="A605" s="114"/>
      <c r="C605" s="29"/>
      <c r="D605" s="114"/>
      <c r="I605" s="129"/>
    </row>
    <row r="606">
      <c r="A606" s="114"/>
      <c r="C606" s="29"/>
      <c r="D606" s="114"/>
      <c r="I606" s="129"/>
    </row>
    <row r="607">
      <c r="A607" s="114"/>
      <c r="C607" s="29"/>
      <c r="D607" s="114"/>
      <c r="I607" s="129"/>
    </row>
    <row r="608">
      <c r="A608" s="114"/>
      <c r="C608" s="29"/>
      <c r="D608" s="114"/>
      <c r="I608" s="129"/>
    </row>
    <row r="609">
      <c r="A609" s="114"/>
      <c r="C609" s="29"/>
      <c r="D609" s="114"/>
      <c r="I609" s="129"/>
    </row>
    <row r="610">
      <c r="A610" s="114"/>
      <c r="C610" s="29"/>
      <c r="D610" s="114"/>
      <c r="I610" s="129"/>
    </row>
    <row r="611">
      <c r="A611" s="114"/>
      <c r="C611" s="29"/>
      <c r="D611" s="114"/>
      <c r="I611" s="129"/>
    </row>
    <row r="612">
      <c r="A612" s="114"/>
      <c r="C612" s="29"/>
      <c r="D612" s="114"/>
      <c r="I612" s="129"/>
    </row>
    <row r="613">
      <c r="A613" s="114"/>
      <c r="C613" s="29"/>
      <c r="D613" s="114"/>
      <c r="I613" s="129"/>
    </row>
    <row r="614">
      <c r="A614" s="114"/>
      <c r="C614" s="29"/>
      <c r="D614" s="114"/>
      <c r="I614" s="129"/>
    </row>
    <row r="615">
      <c r="A615" s="114"/>
      <c r="C615" s="29"/>
      <c r="D615" s="114"/>
      <c r="I615" s="129"/>
    </row>
    <row r="616">
      <c r="A616" s="114"/>
      <c r="C616" s="29"/>
      <c r="D616" s="114"/>
      <c r="I616" s="129"/>
    </row>
    <row r="617">
      <c r="A617" s="114"/>
      <c r="C617" s="29"/>
      <c r="D617" s="114"/>
      <c r="I617" s="129"/>
    </row>
    <row r="618">
      <c r="A618" s="114"/>
      <c r="C618" s="29"/>
      <c r="D618" s="114"/>
      <c r="I618" s="129"/>
    </row>
    <row r="619">
      <c r="A619" s="114"/>
      <c r="C619" s="29"/>
      <c r="D619" s="114"/>
      <c r="I619" s="129"/>
    </row>
    <row r="620">
      <c r="A620" s="114"/>
      <c r="C620" s="29"/>
      <c r="D620" s="114"/>
      <c r="I620" s="129"/>
    </row>
    <row r="621">
      <c r="A621" s="114"/>
      <c r="C621" s="29"/>
      <c r="D621" s="114"/>
      <c r="I621" s="129"/>
    </row>
    <row r="622">
      <c r="A622" s="114"/>
      <c r="C622" s="29"/>
      <c r="D622" s="114"/>
      <c r="I622" s="129"/>
    </row>
    <row r="623">
      <c r="A623" s="114"/>
      <c r="C623" s="29"/>
      <c r="D623" s="114"/>
      <c r="I623" s="129"/>
    </row>
    <row r="624">
      <c r="A624" s="114"/>
      <c r="C624" s="29"/>
      <c r="D624" s="114"/>
      <c r="I624" s="129"/>
    </row>
    <row r="625">
      <c r="A625" s="114"/>
      <c r="C625" s="29"/>
      <c r="D625" s="114"/>
      <c r="I625" s="129"/>
    </row>
    <row r="626">
      <c r="A626" s="114"/>
      <c r="C626" s="29"/>
      <c r="D626" s="114"/>
      <c r="I626" s="129"/>
    </row>
    <row r="627">
      <c r="A627" s="114"/>
      <c r="C627" s="29"/>
      <c r="D627" s="114"/>
      <c r="I627" s="129"/>
    </row>
    <row r="628">
      <c r="A628" s="114"/>
      <c r="C628" s="29"/>
      <c r="D628" s="114"/>
      <c r="I628" s="129"/>
    </row>
    <row r="629">
      <c r="A629" s="114"/>
      <c r="C629" s="29"/>
      <c r="D629" s="114"/>
      <c r="I629" s="129"/>
    </row>
    <row r="630">
      <c r="A630" s="114"/>
      <c r="C630" s="29"/>
      <c r="D630" s="114"/>
      <c r="I630" s="129"/>
    </row>
    <row r="631">
      <c r="A631" s="114"/>
      <c r="C631" s="29"/>
      <c r="D631" s="114"/>
      <c r="I631" s="129"/>
    </row>
    <row r="632">
      <c r="A632" s="114"/>
      <c r="C632" s="29"/>
      <c r="D632" s="114"/>
      <c r="I632" s="129"/>
    </row>
    <row r="633">
      <c r="A633" s="114"/>
      <c r="C633" s="29"/>
      <c r="D633" s="114"/>
      <c r="I633" s="129"/>
    </row>
    <row r="634">
      <c r="A634" s="114"/>
      <c r="C634" s="29"/>
      <c r="D634" s="114"/>
      <c r="I634" s="129"/>
    </row>
    <row r="635">
      <c r="A635" s="114"/>
      <c r="C635" s="29"/>
      <c r="D635" s="114"/>
      <c r="I635" s="129"/>
    </row>
    <row r="636">
      <c r="A636" s="114"/>
      <c r="C636" s="29"/>
      <c r="D636" s="114"/>
      <c r="I636" s="129"/>
    </row>
    <row r="637">
      <c r="A637" s="114"/>
      <c r="C637" s="29"/>
      <c r="D637" s="114"/>
      <c r="I637" s="129"/>
    </row>
    <row r="638">
      <c r="A638" s="114"/>
      <c r="C638" s="29"/>
      <c r="D638" s="114"/>
      <c r="I638" s="129"/>
    </row>
    <row r="639">
      <c r="A639" s="114"/>
      <c r="C639" s="29"/>
      <c r="D639" s="114"/>
      <c r="I639" s="129"/>
    </row>
    <row r="640">
      <c r="A640" s="114"/>
      <c r="C640" s="29"/>
      <c r="D640" s="114"/>
      <c r="I640" s="129"/>
    </row>
    <row r="641">
      <c r="A641" s="114"/>
      <c r="C641" s="29"/>
      <c r="D641" s="114"/>
      <c r="I641" s="129"/>
    </row>
    <row r="642">
      <c r="A642" s="114"/>
      <c r="C642" s="29"/>
      <c r="D642" s="114"/>
      <c r="I642" s="129"/>
    </row>
    <row r="643">
      <c r="A643" s="114"/>
      <c r="C643" s="29"/>
      <c r="D643" s="114"/>
      <c r="I643" s="129"/>
    </row>
    <row r="644">
      <c r="A644" s="114"/>
      <c r="C644" s="29"/>
      <c r="D644" s="114"/>
      <c r="I644" s="129"/>
    </row>
    <row r="645">
      <c r="A645" s="114"/>
      <c r="C645" s="29"/>
      <c r="D645" s="114"/>
      <c r="I645" s="129"/>
    </row>
    <row r="646">
      <c r="A646" s="114"/>
      <c r="C646" s="29"/>
      <c r="D646" s="114"/>
      <c r="I646" s="129"/>
    </row>
    <row r="647">
      <c r="A647" s="114"/>
      <c r="C647" s="29"/>
      <c r="D647" s="114"/>
      <c r="I647" s="129"/>
    </row>
    <row r="648">
      <c r="A648" s="114"/>
      <c r="C648" s="29"/>
      <c r="D648" s="114"/>
      <c r="I648" s="129"/>
    </row>
    <row r="649">
      <c r="A649" s="114"/>
      <c r="C649" s="29"/>
      <c r="D649" s="114"/>
      <c r="I649" s="129"/>
    </row>
    <row r="650">
      <c r="A650" s="114"/>
      <c r="C650" s="29"/>
      <c r="D650" s="114"/>
      <c r="I650" s="129"/>
    </row>
    <row r="651">
      <c r="A651" s="114"/>
      <c r="C651" s="29"/>
      <c r="D651" s="114"/>
      <c r="I651" s="129"/>
    </row>
    <row r="652">
      <c r="A652" s="114"/>
      <c r="C652" s="29"/>
      <c r="D652" s="114"/>
      <c r="I652" s="129"/>
    </row>
    <row r="653">
      <c r="A653" s="114"/>
      <c r="C653" s="29"/>
      <c r="D653" s="114"/>
      <c r="I653" s="129"/>
    </row>
    <row r="654">
      <c r="A654" s="114"/>
      <c r="C654" s="29"/>
      <c r="D654" s="114"/>
      <c r="I654" s="129"/>
    </row>
    <row r="655">
      <c r="A655" s="114"/>
      <c r="C655" s="29"/>
      <c r="D655" s="114"/>
      <c r="I655" s="129"/>
    </row>
    <row r="656">
      <c r="A656" s="114"/>
      <c r="C656" s="29"/>
      <c r="D656" s="114"/>
      <c r="I656" s="129"/>
    </row>
    <row r="657">
      <c r="A657" s="114"/>
      <c r="C657" s="29"/>
      <c r="D657" s="114"/>
      <c r="I657" s="129"/>
    </row>
    <row r="658">
      <c r="A658" s="114"/>
      <c r="C658" s="29"/>
      <c r="D658" s="114"/>
      <c r="I658" s="129"/>
    </row>
    <row r="659">
      <c r="A659" s="114"/>
      <c r="C659" s="29"/>
      <c r="D659" s="114"/>
      <c r="I659" s="129"/>
    </row>
    <row r="660">
      <c r="A660" s="114"/>
      <c r="C660" s="29"/>
      <c r="D660" s="114"/>
      <c r="I660" s="129"/>
    </row>
    <row r="661">
      <c r="A661" s="114"/>
      <c r="C661" s="29"/>
      <c r="D661" s="114"/>
      <c r="I661" s="129"/>
    </row>
    <row r="662">
      <c r="A662" s="114"/>
      <c r="C662" s="29"/>
      <c r="D662" s="114"/>
      <c r="I662" s="129"/>
    </row>
    <row r="663">
      <c r="A663" s="114"/>
      <c r="C663" s="29"/>
      <c r="D663" s="114"/>
      <c r="I663" s="129"/>
    </row>
    <row r="664">
      <c r="A664" s="114"/>
      <c r="C664" s="29"/>
      <c r="D664" s="114"/>
      <c r="I664" s="129"/>
    </row>
    <row r="665">
      <c r="A665" s="114"/>
      <c r="C665" s="29"/>
      <c r="D665" s="114"/>
      <c r="I665" s="129"/>
    </row>
    <row r="666">
      <c r="A666" s="114"/>
      <c r="C666" s="29"/>
      <c r="D666" s="114"/>
      <c r="I666" s="129"/>
    </row>
    <row r="667">
      <c r="A667" s="114"/>
      <c r="C667" s="29"/>
      <c r="D667" s="114"/>
      <c r="I667" s="129"/>
    </row>
    <row r="668">
      <c r="A668" s="114"/>
      <c r="C668" s="29"/>
      <c r="D668" s="114"/>
      <c r="I668" s="129"/>
    </row>
    <row r="669">
      <c r="A669" s="114"/>
      <c r="C669" s="29"/>
      <c r="D669" s="114"/>
      <c r="I669" s="129"/>
    </row>
    <row r="670">
      <c r="A670" s="114"/>
      <c r="C670" s="29"/>
      <c r="D670" s="114"/>
      <c r="I670" s="129"/>
    </row>
    <row r="671">
      <c r="A671" s="114"/>
      <c r="C671" s="29"/>
      <c r="D671" s="114"/>
      <c r="I671" s="129"/>
    </row>
    <row r="672">
      <c r="A672" s="114"/>
      <c r="C672" s="29"/>
      <c r="D672" s="114"/>
      <c r="I672" s="129"/>
    </row>
    <row r="673">
      <c r="A673" s="114"/>
      <c r="C673" s="29"/>
      <c r="D673" s="114"/>
      <c r="I673" s="129"/>
    </row>
    <row r="674">
      <c r="A674" s="114"/>
      <c r="C674" s="29"/>
      <c r="D674" s="114"/>
      <c r="I674" s="129"/>
    </row>
    <row r="675">
      <c r="A675" s="114"/>
      <c r="C675" s="29"/>
      <c r="D675" s="114"/>
      <c r="I675" s="129"/>
    </row>
    <row r="676">
      <c r="A676" s="114"/>
      <c r="C676" s="29"/>
      <c r="D676" s="114"/>
      <c r="I676" s="129"/>
    </row>
    <row r="677">
      <c r="A677" s="114"/>
      <c r="C677" s="29"/>
      <c r="D677" s="114"/>
      <c r="I677" s="129"/>
    </row>
    <row r="678">
      <c r="A678" s="114"/>
      <c r="C678" s="29"/>
      <c r="D678" s="114"/>
      <c r="I678" s="129"/>
    </row>
    <row r="679">
      <c r="A679" s="114"/>
      <c r="C679" s="29"/>
      <c r="D679" s="114"/>
      <c r="I679" s="129"/>
    </row>
    <row r="680">
      <c r="A680" s="114"/>
      <c r="C680" s="29"/>
      <c r="D680" s="114"/>
      <c r="I680" s="129"/>
    </row>
    <row r="681">
      <c r="A681" s="114"/>
      <c r="C681" s="29"/>
      <c r="D681" s="114"/>
      <c r="I681" s="129"/>
    </row>
    <row r="682">
      <c r="A682" s="114"/>
      <c r="C682" s="29"/>
      <c r="D682" s="114"/>
      <c r="I682" s="129"/>
    </row>
    <row r="683">
      <c r="A683" s="114"/>
      <c r="C683" s="29"/>
      <c r="D683" s="114"/>
      <c r="I683" s="129"/>
    </row>
    <row r="684">
      <c r="A684" s="114"/>
      <c r="C684" s="29"/>
      <c r="D684" s="114"/>
      <c r="I684" s="129"/>
    </row>
    <row r="685">
      <c r="A685" s="114"/>
      <c r="C685" s="29"/>
      <c r="D685" s="114"/>
      <c r="I685" s="129"/>
    </row>
    <row r="686">
      <c r="A686" s="114"/>
      <c r="C686" s="29"/>
      <c r="D686" s="114"/>
      <c r="I686" s="129"/>
    </row>
    <row r="687">
      <c r="A687" s="114"/>
      <c r="C687" s="29"/>
      <c r="D687" s="114"/>
      <c r="I687" s="129"/>
    </row>
    <row r="688">
      <c r="A688" s="114"/>
      <c r="C688" s="29"/>
      <c r="D688" s="114"/>
      <c r="I688" s="129"/>
    </row>
    <row r="689">
      <c r="A689" s="114"/>
      <c r="C689" s="29"/>
      <c r="D689" s="114"/>
      <c r="I689" s="129"/>
    </row>
    <row r="690">
      <c r="A690" s="114"/>
      <c r="C690" s="29"/>
      <c r="D690" s="114"/>
      <c r="I690" s="129"/>
    </row>
    <row r="691">
      <c r="A691" s="114"/>
      <c r="C691" s="29"/>
      <c r="D691" s="114"/>
      <c r="I691" s="129"/>
    </row>
    <row r="692">
      <c r="A692" s="114"/>
      <c r="C692" s="29"/>
      <c r="D692" s="114"/>
      <c r="I692" s="129"/>
    </row>
    <row r="693">
      <c r="A693" s="114"/>
      <c r="C693" s="29"/>
      <c r="D693" s="114"/>
      <c r="I693" s="129"/>
    </row>
    <row r="694">
      <c r="A694" s="114"/>
      <c r="C694" s="29"/>
      <c r="D694" s="114"/>
      <c r="I694" s="129"/>
    </row>
    <row r="695">
      <c r="A695" s="114"/>
      <c r="C695" s="29"/>
      <c r="D695" s="114"/>
      <c r="I695" s="129"/>
    </row>
    <row r="696">
      <c r="A696" s="114"/>
      <c r="C696" s="29"/>
      <c r="D696" s="114"/>
      <c r="I696" s="129"/>
    </row>
    <row r="697">
      <c r="A697" s="114"/>
      <c r="C697" s="29"/>
      <c r="D697" s="114"/>
      <c r="I697" s="129"/>
    </row>
    <row r="698">
      <c r="A698" s="114"/>
      <c r="C698" s="29"/>
      <c r="D698" s="114"/>
      <c r="I698" s="129"/>
    </row>
    <row r="699">
      <c r="A699" s="114"/>
      <c r="C699" s="29"/>
      <c r="D699" s="114"/>
      <c r="I699" s="129"/>
    </row>
    <row r="700">
      <c r="A700" s="114"/>
      <c r="C700" s="29"/>
      <c r="D700" s="114"/>
      <c r="I700" s="129"/>
    </row>
    <row r="701">
      <c r="A701" s="114"/>
      <c r="C701" s="29"/>
      <c r="D701" s="114"/>
      <c r="I701" s="129"/>
    </row>
    <row r="702">
      <c r="A702" s="114"/>
      <c r="C702" s="29"/>
      <c r="D702" s="114"/>
      <c r="I702" s="129"/>
    </row>
    <row r="703">
      <c r="A703" s="114"/>
      <c r="C703" s="29"/>
      <c r="D703" s="114"/>
      <c r="I703" s="129"/>
    </row>
    <row r="704">
      <c r="A704" s="114"/>
      <c r="C704" s="29"/>
      <c r="D704" s="114"/>
      <c r="I704" s="129"/>
    </row>
    <row r="705">
      <c r="A705" s="114"/>
      <c r="C705" s="29"/>
      <c r="D705" s="114"/>
      <c r="I705" s="129"/>
    </row>
    <row r="706">
      <c r="A706" s="114"/>
      <c r="C706" s="29"/>
      <c r="D706" s="114"/>
      <c r="I706" s="129"/>
    </row>
    <row r="707">
      <c r="A707" s="114"/>
      <c r="C707" s="29"/>
      <c r="D707" s="114"/>
      <c r="I707" s="129"/>
    </row>
    <row r="708">
      <c r="A708" s="114"/>
      <c r="C708" s="29"/>
      <c r="D708" s="114"/>
      <c r="I708" s="129"/>
    </row>
    <row r="709">
      <c r="A709" s="114"/>
      <c r="C709" s="29"/>
      <c r="D709" s="114"/>
      <c r="I709" s="129"/>
    </row>
    <row r="710">
      <c r="A710" s="114"/>
      <c r="C710" s="29"/>
      <c r="D710" s="114"/>
      <c r="I710" s="129"/>
    </row>
    <row r="711">
      <c r="A711" s="114"/>
      <c r="C711" s="29"/>
      <c r="D711" s="114"/>
      <c r="I711" s="129"/>
    </row>
    <row r="712">
      <c r="A712" s="114"/>
      <c r="C712" s="29"/>
      <c r="D712" s="114"/>
      <c r="I712" s="129"/>
    </row>
    <row r="713">
      <c r="A713" s="114"/>
      <c r="C713" s="29"/>
      <c r="D713" s="114"/>
      <c r="I713" s="129"/>
    </row>
    <row r="714">
      <c r="A714" s="114"/>
      <c r="C714" s="29"/>
      <c r="D714" s="114"/>
      <c r="I714" s="129"/>
    </row>
    <row r="715">
      <c r="A715" s="114"/>
      <c r="C715" s="29"/>
      <c r="D715" s="114"/>
      <c r="I715" s="129"/>
    </row>
    <row r="716">
      <c r="A716" s="114"/>
      <c r="C716" s="29"/>
      <c r="D716" s="114"/>
      <c r="I716" s="129"/>
    </row>
    <row r="717">
      <c r="A717" s="114"/>
      <c r="C717" s="29"/>
      <c r="D717" s="114"/>
      <c r="I717" s="129"/>
    </row>
    <row r="718">
      <c r="A718" s="114"/>
      <c r="C718" s="29"/>
      <c r="D718" s="114"/>
      <c r="I718" s="129"/>
    </row>
    <row r="719">
      <c r="A719" s="114"/>
      <c r="C719" s="29"/>
      <c r="D719" s="114"/>
      <c r="I719" s="129"/>
    </row>
    <row r="720">
      <c r="A720" s="114"/>
      <c r="C720" s="29"/>
      <c r="D720" s="114"/>
      <c r="I720" s="129"/>
    </row>
    <row r="721">
      <c r="A721" s="114"/>
      <c r="C721" s="29"/>
      <c r="D721" s="114"/>
      <c r="I721" s="129"/>
    </row>
    <row r="722">
      <c r="A722" s="114"/>
      <c r="C722" s="29"/>
      <c r="D722" s="114"/>
      <c r="I722" s="129"/>
    </row>
    <row r="723">
      <c r="A723" s="114"/>
      <c r="C723" s="29"/>
      <c r="D723" s="114"/>
      <c r="I723" s="129"/>
    </row>
    <row r="724">
      <c r="A724" s="114"/>
      <c r="C724" s="29"/>
      <c r="D724" s="114"/>
      <c r="I724" s="129"/>
    </row>
    <row r="725">
      <c r="A725" s="114"/>
      <c r="C725" s="29"/>
      <c r="D725" s="114"/>
      <c r="I725" s="129"/>
    </row>
    <row r="726">
      <c r="A726" s="114"/>
      <c r="C726" s="29"/>
      <c r="D726" s="114"/>
      <c r="I726" s="129"/>
    </row>
    <row r="727">
      <c r="A727" s="114"/>
      <c r="C727" s="29"/>
      <c r="D727" s="114"/>
      <c r="I727" s="129"/>
    </row>
    <row r="728">
      <c r="A728" s="114"/>
      <c r="C728" s="29"/>
      <c r="D728" s="114"/>
      <c r="I728" s="129"/>
    </row>
    <row r="729">
      <c r="A729" s="114"/>
      <c r="C729" s="29"/>
      <c r="D729" s="114"/>
      <c r="I729" s="129"/>
    </row>
    <row r="730">
      <c r="A730" s="114"/>
      <c r="C730" s="29"/>
      <c r="D730" s="114"/>
      <c r="I730" s="129"/>
    </row>
    <row r="731">
      <c r="A731" s="114"/>
      <c r="C731" s="29"/>
      <c r="D731" s="114"/>
      <c r="I731" s="129"/>
    </row>
    <row r="732">
      <c r="A732" s="114"/>
      <c r="C732" s="29"/>
      <c r="D732" s="114"/>
      <c r="I732" s="129"/>
    </row>
    <row r="733">
      <c r="A733" s="114"/>
      <c r="C733" s="29"/>
      <c r="D733" s="114"/>
      <c r="I733" s="129"/>
    </row>
    <row r="734">
      <c r="A734" s="114"/>
      <c r="C734" s="29"/>
      <c r="D734" s="114"/>
      <c r="I734" s="129"/>
    </row>
    <row r="735">
      <c r="A735" s="114"/>
      <c r="C735" s="29"/>
      <c r="D735" s="114"/>
      <c r="I735" s="129"/>
    </row>
    <row r="736">
      <c r="A736" s="114"/>
      <c r="C736" s="29"/>
      <c r="D736" s="114"/>
      <c r="I736" s="129"/>
    </row>
    <row r="737">
      <c r="A737" s="114"/>
      <c r="C737" s="29"/>
      <c r="D737" s="114"/>
      <c r="I737" s="129"/>
    </row>
    <row r="738">
      <c r="A738" s="114"/>
      <c r="C738" s="29"/>
      <c r="D738" s="114"/>
      <c r="I738" s="129"/>
    </row>
    <row r="739">
      <c r="A739" s="114"/>
      <c r="C739" s="29"/>
      <c r="D739" s="114"/>
      <c r="I739" s="129"/>
    </row>
    <row r="740">
      <c r="A740" s="114"/>
      <c r="C740" s="29"/>
      <c r="D740" s="114"/>
      <c r="I740" s="129"/>
    </row>
    <row r="741">
      <c r="A741" s="114"/>
      <c r="C741" s="29"/>
      <c r="D741" s="114"/>
      <c r="I741" s="129"/>
    </row>
    <row r="742">
      <c r="A742" s="114"/>
      <c r="C742" s="29"/>
      <c r="D742" s="114"/>
      <c r="I742" s="129"/>
    </row>
    <row r="743">
      <c r="A743" s="114"/>
      <c r="C743" s="29"/>
      <c r="D743" s="114"/>
      <c r="I743" s="129"/>
    </row>
    <row r="744">
      <c r="A744" s="114"/>
      <c r="C744" s="29"/>
      <c r="D744" s="114"/>
      <c r="I744" s="129"/>
    </row>
    <row r="745">
      <c r="A745" s="114"/>
      <c r="C745" s="29"/>
      <c r="D745" s="114"/>
      <c r="I745" s="129"/>
    </row>
    <row r="746">
      <c r="A746" s="114"/>
      <c r="C746" s="29"/>
      <c r="D746" s="114"/>
      <c r="I746" s="129"/>
    </row>
    <row r="747">
      <c r="A747" s="114"/>
      <c r="C747" s="29"/>
      <c r="D747" s="114"/>
      <c r="I747" s="129"/>
    </row>
    <row r="748">
      <c r="A748" s="114"/>
      <c r="C748" s="29"/>
      <c r="D748" s="114"/>
      <c r="I748" s="129"/>
    </row>
    <row r="749">
      <c r="A749" s="114"/>
      <c r="C749" s="29"/>
      <c r="D749" s="114"/>
      <c r="I749" s="129"/>
    </row>
    <row r="750">
      <c r="A750" s="114"/>
      <c r="C750" s="29"/>
      <c r="D750" s="114"/>
      <c r="I750" s="129"/>
    </row>
    <row r="751">
      <c r="A751" s="114"/>
      <c r="C751" s="29"/>
      <c r="D751" s="114"/>
      <c r="I751" s="129"/>
    </row>
    <row r="752">
      <c r="A752" s="114"/>
      <c r="C752" s="29"/>
      <c r="D752" s="114"/>
      <c r="I752" s="129"/>
    </row>
    <row r="753">
      <c r="A753" s="114"/>
      <c r="C753" s="29"/>
      <c r="D753" s="114"/>
      <c r="I753" s="129"/>
    </row>
    <row r="754">
      <c r="A754" s="114"/>
      <c r="C754" s="29"/>
      <c r="D754" s="114"/>
      <c r="I754" s="129"/>
    </row>
    <row r="755">
      <c r="A755" s="114"/>
      <c r="C755" s="29"/>
      <c r="D755" s="114"/>
      <c r="I755" s="129"/>
    </row>
    <row r="756">
      <c r="A756" s="114"/>
      <c r="C756" s="29"/>
      <c r="D756" s="114"/>
      <c r="I756" s="129"/>
    </row>
    <row r="757">
      <c r="A757" s="114"/>
      <c r="C757" s="29"/>
      <c r="D757" s="114"/>
      <c r="I757" s="129"/>
    </row>
    <row r="758">
      <c r="A758" s="114"/>
      <c r="C758" s="29"/>
      <c r="D758" s="114"/>
      <c r="I758" s="129"/>
    </row>
    <row r="759">
      <c r="A759" s="114"/>
      <c r="C759" s="29"/>
      <c r="D759" s="114"/>
      <c r="I759" s="129"/>
    </row>
    <row r="760">
      <c r="A760" s="114"/>
      <c r="C760" s="29"/>
      <c r="D760" s="114"/>
      <c r="I760" s="129"/>
    </row>
    <row r="761">
      <c r="A761" s="114"/>
      <c r="C761" s="29"/>
      <c r="D761" s="114"/>
      <c r="I761" s="129"/>
    </row>
    <row r="762">
      <c r="A762" s="114"/>
      <c r="C762" s="29"/>
      <c r="D762" s="114"/>
      <c r="I762" s="129"/>
    </row>
    <row r="763">
      <c r="A763" s="114"/>
      <c r="C763" s="29"/>
      <c r="D763" s="114"/>
      <c r="I763" s="129"/>
    </row>
    <row r="764">
      <c r="A764" s="114"/>
      <c r="C764" s="29"/>
      <c r="D764" s="114"/>
      <c r="I764" s="129"/>
    </row>
    <row r="765">
      <c r="A765" s="114"/>
      <c r="C765" s="29"/>
      <c r="D765" s="114"/>
      <c r="I765" s="129"/>
    </row>
    <row r="766">
      <c r="A766" s="114"/>
      <c r="C766" s="29"/>
      <c r="D766" s="114"/>
      <c r="I766" s="129"/>
    </row>
    <row r="767">
      <c r="A767" s="114"/>
      <c r="C767" s="29"/>
      <c r="D767" s="114"/>
      <c r="I767" s="129"/>
    </row>
    <row r="768">
      <c r="A768" s="114"/>
      <c r="C768" s="29"/>
      <c r="D768" s="114"/>
      <c r="I768" s="129"/>
    </row>
    <row r="769">
      <c r="A769" s="114"/>
      <c r="C769" s="29"/>
      <c r="D769" s="114"/>
      <c r="I769" s="129"/>
    </row>
    <row r="770">
      <c r="A770" s="114"/>
      <c r="C770" s="29"/>
      <c r="D770" s="114"/>
      <c r="I770" s="129"/>
    </row>
    <row r="771">
      <c r="A771" s="114"/>
      <c r="C771" s="29"/>
      <c r="D771" s="114"/>
      <c r="I771" s="129"/>
    </row>
    <row r="772">
      <c r="A772" s="114"/>
      <c r="C772" s="29"/>
      <c r="D772" s="114"/>
      <c r="I772" s="129"/>
    </row>
    <row r="773">
      <c r="A773" s="114"/>
      <c r="C773" s="29"/>
      <c r="D773" s="114"/>
      <c r="I773" s="129"/>
    </row>
    <row r="774">
      <c r="A774" s="114"/>
      <c r="C774" s="29"/>
      <c r="D774" s="114"/>
      <c r="I774" s="129"/>
    </row>
    <row r="775">
      <c r="A775" s="114"/>
      <c r="C775" s="29"/>
      <c r="D775" s="114"/>
      <c r="I775" s="129"/>
    </row>
    <row r="776">
      <c r="A776" s="114"/>
      <c r="C776" s="29"/>
      <c r="D776" s="114"/>
      <c r="I776" s="129"/>
    </row>
    <row r="777">
      <c r="A777" s="114"/>
      <c r="C777" s="29"/>
      <c r="D777" s="114"/>
      <c r="I777" s="129"/>
    </row>
    <row r="778">
      <c r="A778" s="114"/>
      <c r="C778" s="29"/>
      <c r="D778" s="114"/>
      <c r="I778" s="129"/>
    </row>
    <row r="779">
      <c r="A779" s="114"/>
      <c r="C779" s="29"/>
      <c r="D779" s="114"/>
      <c r="I779" s="129"/>
    </row>
    <row r="780">
      <c r="A780" s="114"/>
      <c r="C780" s="29"/>
      <c r="D780" s="114"/>
      <c r="I780" s="129"/>
    </row>
    <row r="781">
      <c r="A781" s="114"/>
      <c r="C781" s="29"/>
      <c r="D781" s="114"/>
      <c r="I781" s="129"/>
    </row>
    <row r="782">
      <c r="A782" s="114"/>
      <c r="C782" s="29"/>
      <c r="D782" s="114"/>
      <c r="I782" s="129"/>
    </row>
    <row r="783">
      <c r="A783" s="114"/>
      <c r="C783" s="29"/>
      <c r="D783" s="114"/>
      <c r="I783" s="129"/>
    </row>
    <row r="784">
      <c r="A784" s="114"/>
      <c r="C784" s="29"/>
      <c r="D784" s="114"/>
      <c r="I784" s="129"/>
    </row>
    <row r="785">
      <c r="A785" s="114"/>
      <c r="C785" s="29"/>
      <c r="D785" s="114"/>
      <c r="I785" s="129"/>
    </row>
    <row r="786">
      <c r="A786" s="114"/>
      <c r="C786" s="29"/>
      <c r="D786" s="114"/>
      <c r="I786" s="129"/>
    </row>
    <row r="787">
      <c r="A787" s="114"/>
      <c r="C787" s="29"/>
      <c r="D787" s="114"/>
      <c r="I787" s="129"/>
    </row>
    <row r="788">
      <c r="A788" s="114"/>
      <c r="C788" s="29"/>
      <c r="D788" s="114"/>
      <c r="I788" s="129"/>
    </row>
    <row r="789">
      <c r="A789" s="114"/>
      <c r="C789" s="29"/>
      <c r="D789" s="114"/>
      <c r="I789" s="129"/>
    </row>
    <row r="790">
      <c r="A790" s="114"/>
      <c r="C790" s="29"/>
      <c r="D790" s="114"/>
      <c r="I790" s="129"/>
    </row>
    <row r="791">
      <c r="A791" s="114"/>
      <c r="C791" s="29"/>
      <c r="D791" s="114"/>
      <c r="I791" s="129"/>
    </row>
    <row r="792">
      <c r="A792" s="114"/>
      <c r="C792" s="29"/>
      <c r="D792" s="114"/>
      <c r="I792" s="129"/>
    </row>
    <row r="793">
      <c r="A793" s="114"/>
      <c r="C793" s="29"/>
      <c r="D793" s="114"/>
      <c r="I793" s="129"/>
    </row>
    <row r="794">
      <c r="A794" s="114"/>
      <c r="C794" s="29"/>
      <c r="D794" s="114"/>
      <c r="I794" s="129"/>
    </row>
    <row r="795">
      <c r="A795" s="114"/>
      <c r="C795" s="29"/>
      <c r="D795" s="114"/>
      <c r="I795" s="129"/>
    </row>
    <row r="796">
      <c r="A796" s="114"/>
      <c r="C796" s="29"/>
      <c r="D796" s="114"/>
      <c r="I796" s="129"/>
    </row>
    <row r="797">
      <c r="A797" s="114"/>
      <c r="C797" s="29"/>
      <c r="D797" s="114"/>
      <c r="I797" s="129"/>
    </row>
    <row r="798">
      <c r="A798" s="114"/>
      <c r="C798" s="29"/>
      <c r="D798" s="114"/>
      <c r="I798" s="129"/>
    </row>
    <row r="799">
      <c r="A799" s="114"/>
      <c r="C799" s="29"/>
      <c r="D799" s="114"/>
      <c r="I799" s="129"/>
    </row>
    <row r="800">
      <c r="A800" s="114"/>
      <c r="C800" s="29"/>
      <c r="D800" s="114"/>
      <c r="I800" s="129"/>
    </row>
    <row r="801">
      <c r="A801" s="114"/>
      <c r="C801" s="29"/>
      <c r="D801" s="114"/>
      <c r="I801" s="129"/>
    </row>
    <row r="802">
      <c r="A802" s="114"/>
      <c r="C802" s="29"/>
      <c r="D802" s="114"/>
      <c r="I802" s="129"/>
    </row>
    <row r="803">
      <c r="A803" s="114"/>
      <c r="C803" s="29"/>
      <c r="D803" s="114"/>
      <c r="I803" s="129"/>
    </row>
    <row r="804">
      <c r="A804" s="114"/>
      <c r="C804" s="29"/>
      <c r="D804" s="114"/>
      <c r="I804" s="129"/>
    </row>
    <row r="805">
      <c r="A805" s="114"/>
      <c r="C805" s="29"/>
      <c r="D805" s="114"/>
      <c r="I805" s="129"/>
    </row>
    <row r="806">
      <c r="A806" s="114"/>
      <c r="C806" s="29"/>
      <c r="D806" s="114"/>
      <c r="I806" s="129"/>
    </row>
    <row r="807">
      <c r="A807" s="114"/>
      <c r="C807" s="29"/>
      <c r="D807" s="114"/>
      <c r="I807" s="129"/>
    </row>
    <row r="808">
      <c r="A808" s="114"/>
      <c r="C808" s="29"/>
      <c r="D808" s="114"/>
      <c r="I808" s="129"/>
    </row>
    <row r="809">
      <c r="A809" s="114"/>
      <c r="C809" s="29"/>
      <c r="D809" s="114"/>
      <c r="I809" s="129"/>
    </row>
    <row r="810">
      <c r="A810" s="114"/>
      <c r="C810" s="29"/>
      <c r="D810" s="114"/>
      <c r="I810" s="129"/>
    </row>
    <row r="811">
      <c r="A811" s="114"/>
      <c r="C811" s="29"/>
      <c r="D811" s="114"/>
      <c r="I811" s="129"/>
    </row>
    <row r="812">
      <c r="A812" s="114"/>
      <c r="C812" s="29"/>
      <c r="D812" s="114"/>
      <c r="I812" s="129"/>
    </row>
    <row r="813">
      <c r="A813" s="114"/>
      <c r="C813" s="29"/>
      <c r="D813" s="114"/>
      <c r="I813" s="129"/>
    </row>
    <row r="814">
      <c r="A814" s="114"/>
      <c r="C814" s="29"/>
      <c r="D814" s="114"/>
      <c r="I814" s="129"/>
    </row>
    <row r="815">
      <c r="A815" s="114"/>
      <c r="C815" s="29"/>
      <c r="D815" s="114"/>
      <c r="I815" s="129"/>
    </row>
    <row r="816">
      <c r="A816" s="114"/>
      <c r="C816" s="29"/>
      <c r="D816" s="114"/>
      <c r="I816" s="129"/>
    </row>
    <row r="817">
      <c r="A817" s="114"/>
      <c r="C817" s="29"/>
      <c r="D817" s="114"/>
      <c r="I817" s="129"/>
    </row>
    <row r="818">
      <c r="A818" s="114"/>
      <c r="C818" s="29"/>
      <c r="D818" s="114"/>
      <c r="I818" s="129"/>
    </row>
    <row r="819">
      <c r="A819" s="114"/>
      <c r="C819" s="29"/>
      <c r="D819" s="114"/>
      <c r="I819" s="129"/>
    </row>
    <row r="820">
      <c r="A820" s="114"/>
      <c r="C820" s="29"/>
      <c r="D820" s="114"/>
      <c r="I820" s="129"/>
    </row>
    <row r="821">
      <c r="A821" s="114"/>
      <c r="C821" s="29"/>
      <c r="D821" s="114"/>
      <c r="I821" s="129"/>
    </row>
    <row r="822">
      <c r="A822" s="114"/>
      <c r="C822" s="29"/>
      <c r="D822" s="114"/>
      <c r="I822" s="129"/>
    </row>
    <row r="823">
      <c r="A823" s="114"/>
      <c r="C823" s="29"/>
      <c r="D823" s="114"/>
      <c r="I823" s="129"/>
    </row>
    <row r="824">
      <c r="A824" s="114"/>
      <c r="C824" s="29"/>
      <c r="D824" s="114"/>
      <c r="I824" s="129"/>
    </row>
    <row r="825">
      <c r="A825" s="114"/>
      <c r="C825" s="29"/>
      <c r="D825" s="114"/>
      <c r="I825" s="129"/>
    </row>
    <row r="826">
      <c r="A826" s="114"/>
      <c r="C826" s="29"/>
      <c r="D826" s="114"/>
      <c r="I826" s="129"/>
    </row>
    <row r="827">
      <c r="A827" s="114"/>
      <c r="C827" s="29"/>
      <c r="D827" s="114"/>
      <c r="I827" s="129"/>
    </row>
    <row r="828">
      <c r="A828" s="114"/>
      <c r="C828" s="29"/>
      <c r="D828" s="114"/>
      <c r="I828" s="129"/>
    </row>
    <row r="829">
      <c r="A829" s="114"/>
      <c r="C829" s="29"/>
      <c r="D829" s="114"/>
      <c r="I829" s="129"/>
    </row>
    <row r="830">
      <c r="A830" s="114"/>
      <c r="C830" s="29"/>
      <c r="D830" s="114"/>
      <c r="I830" s="129"/>
    </row>
    <row r="831">
      <c r="A831" s="114"/>
      <c r="C831" s="29"/>
      <c r="D831" s="114"/>
      <c r="I831" s="129"/>
    </row>
    <row r="832">
      <c r="A832" s="114"/>
      <c r="C832" s="29"/>
      <c r="D832" s="114"/>
      <c r="I832" s="129"/>
    </row>
    <row r="833">
      <c r="A833" s="114"/>
      <c r="C833" s="29"/>
      <c r="D833" s="114"/>
      <c r="I833" s="129"/>
    </row>
    <row r="834">
      <c r="A834" s="114"/>
      <c r="C834" s="29"/>
      <c r="D834" s="114"/>
      <c r="I834" s="129"/>
    </row>
    <row r="835">
      <c r="A835" s="114"/>
      <c r="C835" s="29"/>
      <c r="D835" s="114"/>
      <c r="I835" s="129"/>
    </row>
    <row r="836">
      <c r="A836" s="114"/>
      <c r="C836" s="29"/>
      <c r="D836" s="114"/>
      <c r="I836" s="129"/>
    </row>
    <row r="837">
      <c r="A837" s="114"/>
      <c r="C837" s="29"/>
      <c r="D837" s="114"/>
      <c r="I837" s="129"/>
    </row>
    <row r="838">
      <c r="A838" s="114"/>
      <c r="C838" s="29"/>
      <c r="D838" s="114"/>
      <c r="I838" s="129"/>
    </row>
    <row r="839">
      <c r="A839" s="114"/>
      <c r="C839" s="29"/>
      <c r="D839" s="114"/>
      <c r="I839" s="129"/>
    </row>
    <row r="840">
      <c r="A840" s="114"/>
      <c r="C840" s="29"/>
      <c r="D840" s="114"/>
      <c r="I840" s="129"/>
    </row>
    <row r="841">
      <c r="A841" s="114"/>
      <c r="C841" s="29"/>
      <c r="D841" s="114"/>
      <c r="I841" s="129"/>
    </row>
    <row r="842">
      <c r="A842" s="114"/>
      <c r="C842" s="29"/>
      <c r="D842" s="114"/>
      <c r="I842" s="129"/>
    </row>
    <row r="843">
      <c r="A843" s="114"/>
      <c r="C843" s="29"/>
      <c r="D843" s="114"/>
      <c r="I843" s="129"/>
    </row>
    <row r="844">
      <c r="A844" s="114"/>
      <c r="C844" s="29"/>
      <c r="D844" s="114"/>
      <c r="I844" s="129"/>
    </row>
    <row r="845">
      <c r="A845" s="114"/>
      <c r="C845" s="29"/>
      <c r="D845" s="114"/>
      <c r="I845" s="129"/>
    </row>
    <row r="846">
      <c r="A846" s="114"/>
      <c r="C846" s="29"/>
      <c r="D846" s="114"/>
      <c r="I846" s="129"/>
    </row>
    <row r="847">
      <c r="A847" s="114"/>
      <c r="C847" s="29"/>
      <c r="D847" s="114"/>
      <c r="I847" s="129"/>
    </row>
    <row r="848">
      <c r="A848" s="114"/>
      <c r="C848" s="29"/>
      <c r="D848" s="114"/>
      <c r="I848" s="129"/>
    </row>
    <row r="849">
      <c r="A849" s="114"/>
      <c r="C849" s="29"/>
      <c r="D849" s="114"/>
      <c r="I849" s="129"/>
    </row>
    <row r="850">
      <c r="A850" s="114"/>
      <c r="C850" s="29"/>
      <c r="D850" s="114"/>
      <c r="I850" s="129"/>
    </row>
    <row r="851">
      <c r="A851" s="114"/>
      <c r="C851" s="29"/>
      <c r="D851" s="114"/>
      <c r="I851" s="129"/>
    </row>
    <row r="852">
      <c r="A852" s="114"/>
      <c r="C852" s="29"/>
      <c r="D852" s="114"/>
      <c r="I852" s="129"/>
    </row>
    <row r="853">
      <c r="A853" s="114"/>
      <c r="C853" s="29"/>
      <c r="D853" s="114"/>
      <c r="I853" s="129"/>
    </row>
    <row r="854">
      <c r="A854" s="114"/>
      <c r="C854" s="29"/>
      <c r="D854" s="114"/>
      <c r="I854" s="129"/>
    </row>
    <row r="855">
      <c r="A855" s="114"/>
      <c r="C855" s="29"/>
      <c r="D855" s="114"/>
      <c r="I855" s="129"/>
    </row>
    <row r="856">
      <c r="A856" s="114"/>
      <c r="C856" s="29"/>
      <c r="D856" s="114"/>
      <c r="I856" s="129"/>
    </row>
    <row r="857">
      <c r="A857" s="114"/>
      <c r="C857" s="29"/>
      <c r="D857" s="114"/>
      <c r="I857" s="129"/>
    </row>
    <row r="858">
      <c r="A858" s="114"/>
      <c r="C858" s="29"/>
      <c r="D858" s="114"/>
      <c r="I858" s="129"/>
    </row>
    <row r="859">
      <c r="A859" s="114"/>
      <c r="C859" s="29"/>
      <c r="D859" s="114"/>
      <c r="I859" s="129"/>
    </row>
    <row r="860">
      <c r="A860" s="114"/>
      <c r="C860" s="29"/>
      <c r="D860" s="114"/>
      <c r="I860" s="129"/>
    </row>
    <row r="861">
      <c r="A861" s="114"/>
      <c r="C861" s="29"/>
      <c r="D861" s="114"/>
      <c r="I861" s="129"/>
    </row>
    <row r="862">
      <c r="A862" s="114"/>
      <c r="C862" s="29"/>
      <c r="D862" s="114"/>
      <c r="I862" s="129"/>
    </row>
    <row r="863">
      <c r="A863" s="114"/>
      <c r="C863" s="29"/>
      <c r="D863" s="114"/>
      <c r="I863" s="129"/>
    </row>
    <row r="864">
      <c r="A864" s="114"/>
      <c r="C864" s="29"/>
      <c r="D864" s="114"/>
      <c r="I864" s="129"/>
    </row>
    <row r="865">
      <c r="A865" s="114"/>
      <c r="C865" s="29"/>
      <c r="D865" s="114"/>
      <c r="I865" s="129"/>
    </row>
    <row r="866">
      <c r="A866" s="114"/>
      <c r="C866" s="29"/>
      <c r="D866" s="114"/>
      <c r="I866" s="129"/>
    </row>
    <row r="867">
      <c r="A867" s="114"/>
      <c r="C867" s="29"/>
      <c r="D867" s="114"/>
      <c r="I867" s="129"/>
    </row>
    <row r="868">
      <c r="A868" s="114"/>
      <c r="C868" s="29"/>
      <c r="D868" s="114"/>
      <c r="I868" s="129"/>
    </row>
    <row r="869">
      <c r="A869" s="114"/>
      <c r="C869" s="29"/>
      <c r="D869" s="114"/>
      <c r="I869" s="129"/>
    </row>
    <row r="870">
      <c r="A870" s="114"/>
      <c r="C870" s="29"/>
      <c r="D870" s="114"/>
      <c r="I870" s="129"/>
    </row>
    <row r="871">
      <c r="A871" s="114"/>
      <c r="C871" s="29"/>
      <c r="D871" s="114"/>
      <c r="I871" s="129"/>
    </row>
    <row r="872">
      <c r="A872" s="114"/>
      <c r="C872" s="29"/>
      <c r="D872" s="114"/>
      <c r="I872" s="129"/>
    </row>
    <row r="873">
      <c r="A873" s="114"/>
      <c r="C873" s="29"/>
      <c r="D873" s="114"/>
      <c r="I873" s="129"/>
    </row>
    <row r="874">
      <c r="A874" s="114"/>
      <c r="C874" s="29"/>
      <c r="D874" s="114"/>
      <c r="I874" s="129"/>
    </row>
    <row r="875">
      <c r="A875" s="114"/>
      <c r="C875" s="29"/>
      <c r="D875" s="114"/>
      <c r="I875" s="129"/>
    </row>
    <row r="876">
      <c r="A876" s="114"/>
      <c r="C876" s="29"/>
      <c r="D876" s="114"/>
      <c r="I876" s="129"/>
    </row>
    <row r="877">
      <c r="A877" s="114"/>
      <c r="C877" s="29"/>
      <c r="D877" s="114"/>
      <c r="I877" s="129"/>
    </row>
    <row r="878">
      <c r="A878" s="114"/>
      <c r="C878" s="29"/>
      <c r="D878" s="114"/>
      <c r="I878" s="129"/>
    </row>
    <row r="879">
      <c r="A879" s="114"/>
      <c r="C879" s="29"/>
      <c r="D879" s="114"/>
      <c r="I879" s="129"/>
    </row>
    <row r="880">
      <c r="A880" s="114"/>
      <c r="C880" s="29"/>
      <c r="D880" s="114"/>
      <c r="I880" s="129"/>
    </row>
    <row r="881">
      <c r="A881" s="114"/>
      <c r="C881" s="29"/>
      <c r="D881" s="114"/>
      <c r="I881" s="129"/>
    </row>
    <row r="882">
      <c r="A882" s="114"/>
      <c r="C882" s="29"/>
      <c r="D882" s="114"/>
      <c r="I882" s="129"/>
    </row>
    <row r="883">
      <c r="A883" s="114"/>
      <c r="C883" s="29"/>
      <c r="D883" s="114"/>
      <c r="I883" s="129"/>
    </row>
    <row r="884">
      <c r="A884" s="114"/>
      <c r="C884" s="29"/>
      <c r="D884" s="114"/>
      <c r="I884" s="129"/>
    </row>
    <row r="885">
      <c r="A885" s="114"/>
      <c r="C885" s="29"/>
      <c r="D885" s="114"/>
      <c r="I885" s="129"/>
    </row>
    <row r="886">
      <c r="A886" s="114"/>
      <c r="C886" s="29"/>
      <c r="D886" s="114"/>
      <c r="I886" s="129"/>
    </row>
    <row r="887">
      <c r="A887" s="114"/>
      <c r="C887" s="29"/>
      <c r="D887" s="114"/>
      <c r="I887" s="129"/>
    </row>
    <row r="888">
      <c r="A888" s="114"/>
      <c r="C888" s="29"/>
      <c r="D888" s="114"/>
      <c r="I888" s="129"/>
    </row>
    <row r="889">
      <c r="A889" s="114"/>
      <c r="C889" s="29"/>
      <c r="D889" s="114"/>
      <c r="I889" s="129"/>
    </row>
    <row r="890">
      <c r="A890" s="114"/>
      <c r="C890" s="29"/>
      <c r="D890" s="114"/>
      <c r="I890" s="129"/>
    </row>
    <row r="891">
      <c r="A891" s="114"/>
      <c r="C891" s="29"/>
      <c r="D891" s="114"/>
      <c r="I891" s="129"/>
    </row>
    <row r="892">
      <c r="A892" s="114"/>
      <c r="C892" s="29"/>
      <c r="D892" s="114"/>
      <c r="I892" s="129"/>
    </row>
    <row r="893">
      <c r="A893" s="114"/>
      <c r="C893" s="29"/>
      <c r="D893" s="114"/>
      <c r="I893" s="129"/>
    </row>
    <row r="894">
      <c r="A894" s="114"/>
      <c r="C894" s="29"/>
      <c r="D894" s="114"/>
      <c r="I894" s="129"/>
    </row>
    <row r="895">
      <c r="A895" s="114"/>
      <c r="C895" s="29"/>
      <c r="D895" s="114"/>
      <c r="I895" s="129"/>
    </row>
    <row r="896">
      <c r="A896" s="114"/>
      <c r="C896" s="29"/>
      <c r="D896" s="114"/>
      <c r="I896" s="129"/>
    </row>
    <row r="897">
      <c r="A897" s="114"/>
      <c r="C897" s="29"/>
      <c r="D897" s="114"/>
      <c r="I897" s="129"/>
    </row>
    <row r="898">
      <c r="A898" s="114"/>
      <c r="C898" s="29"/>
      <c r="D898" s="114"/>
      <c r="I898" s="129"/>
    </row>
    <row r="899">
      <c r="A899" s="114"/>
      <c r="C899" s="29"/>
      <c r="D899" s="114"/>
      <c r="I899" s="129"/>
    </row>
    <row r="900">
      <c r="A900" s="114"/>
      <c r="C900" s="29"/>
      <c r="D900" s="114"/>
      <c r="I900" s="129"/>
    </row>
    <row r="901">
      <c r="A901" s="114"/>
      <c r="C901" s="29"/>
      <c r="D901" s="114"/>
      <c r="I901" s="129"/>
    </row>
    <row r="902">
      <c r="A902" s="114"/>
      <c r="C902" s="29"/>
      <c r="D902" s="114"/>
      <c r="I902" s="129"/>
    </row>
    <row r="903">
      <c r="A903" s="114"/>
      <c r="C903" s="29"/>
      <c r="D903" s="114"/>
      <c r="I903" s="129"/>
    </row>
    <row r="904">
      <c r="A904" s="114"/>
      <c r="C904" s="29"/>
      <c r="D904" s="114"/>
      <c r="I904" s="129"/>
    </row>
    <row r="905">
      <c r="A905" s="114"/>
      <c r="C905" s="29"/>
      <c r="D905" s="114"/>
      <c r="I905" s="129"/>
    </row>
    <row r="906">
      <c r="A906" s="114"/>
      <c r="C906" s="29"/>
      <c r="D906" s="114"/>
      <c r="I906" s="129"/>
    </row>
    <row r="907">
      <c r="A907" s="114"/>
      <c r="C907" s="29"/>
      <c r="D907" s="114"/>
      <c r="I907" s="129"/>
    </row>
    <row r="908">
      <c r="A908" s="114"/>
      <c r="C908" s="29"/>
      <c r="D908" s="114"/>
      <c r="I908" s="129"/>
    </row>
    <row r="909">
      <c r="A909" s="114"/>
      <c r="C909" s="29"/>
      <c r="D909" s="114"/>
      <c r="I909" s="129"/>
    </row>
    <row r="910">
      <c r="A910" s="114"/>
      <c r="C910" s="29"/>
      <c r="D910" s="114"/>
      <c r="I910" s="129"/>
    </row>
    <row r="911">
      <c r="A911" s="114"/>
      <c r="C911" s="29"/>
      <c r="D911" s="114"/>
      <c r="I911" s="129"/>
    </row>
    <row r="912">
      <c r="A912" s="114"/>
      <c r="C912" s="29"/>
      <c r="D912" s="114"/>
      <c r="I912" s="129"/>
    </row>
    <row r="913">
      <c r="A913" s="114"/>
      <c r="C913" s="29"/>
      <c r="D913" s="114"/>
      <c r="I913" s="129"/>
    </row>
    <row r="914">
      <c r="A914" s="114"/>
      <c r="C914" s="29"/>
      <c r="D914" s="114"/>
      <c r="I914" s="129"/>
    </row>
    <row r="915">
      <c r="A915" s="114"/>
      <c r="C915" s="29"/>
      <c r="D915" s="114"/>
      <c r="I915" s="129"/>
    </row>
    <row r="916">
      <c r="A916" s="114"/>
      <c r="C916" s="29"/>
      <c r="D916" s="114"/>
      <c r="I916" s="129"/>
    </row>
    <row r="917">
      <c r="A917" s="114"/>
      <c r="C917" s="29"/>
      <c r="D917" s="114"/>
      <c r="I917" s="129"/>
    </row>
    <row r="918">
      <c r="A918" s="114"/>
      <c r="C918" s="29"/>
      <c r="D918" s="114"/>
      <c r="I918" s="129"/>
    </row>
    <row r="919">
      <c r="A919" s="114"/>
      <c r="C919" s="29"/>
      <c r="D919" s="114"/>
      <c r="I919" s="129"/>
    </row>
    <row r="920">
      <c r="A920" s="114"/>
      <c r="C920" s="29"/>
      <c r="D920" s="114"/>
      <c r="I920" s="129"/>
    </row>
    <row r="921">
      <c r="A921" s="114"/>
      <c r="C921" s="29"/>
      <c r="D921" s="114"/>
      <c r="I921" s="129"/>
    </row>
    <row r="922">
      <c r="A922" s="114"/>
      <c r="C922" s="29"/>
      <c r="D922" s="114"/>
      <c r="I922" s="129"/>
    </row>
    <row r="923">
      <c r="A923" s="114"/>
      <c r="C923" s="29"/>
      <c r="D923" s="114"/>
      <c r="I923" s="129"/>
    </row>
    <row r="924">
      <c r="A924" s="114"/>
      <c r="C924" s="29"/>
      <c r="D924" s="114"/>
      <c r="I924" s="129"/>
    </row>
    <row r="925">
      <c r="A925" s="114"/>
      <c r="C925" s="29"/>
      <c r="D925" s="114"/>
      <c r="I925" s="129"/>
    </row>
    <row r="926">
      <c r="A926" s="114"/>
      <c r="C926" s="29"/>
      <c r="D926" s="114"/>
      <c r="I926" s="129"/>
    </row>
    <row r="927">
      <c r="A927" s="114"/>
      <c r="C927" s="29"/>
      <c r="D927" s="114"/>
      <c r="I927" s="129"/>
    </row>
    <row r="928">
      <c r="A928" s="114"/>
      <c r="C928" s="29"/>
      <c r="D928" s="114"/>
      <c r="I928" s="129"/>
    </row>
    <row r="929">
      <c r="A929" s="114"/>
      <c r="C929" s="29"/>
      <c r="D929" s="114"/>
      <c r="I929" s="129"/>
    </row>
    <row r="930">
      <c r="A930" s="114"/>
      <c r="C930" s="29"/>
      <c r="D930" s="114"/>
      <c r="I930" s="129"/>
    </row>
    <row r="931">
      <c r="A931" s="114"/>
      <c r="C931" s="29"/>
      <c r="D931" s="114"/>
      <c r="I931" s="129"/>
    </row>
    <row r="932">
      <c r="A932" s="114"/>
      <c r="C932" s="29"/>
      <c r="D932" s="114"/>
      <c r="I932" s="129"/>
    </row>
    <row r="933">
      <c r="A933" s="114"/>
      <c r="C933" s="29"/>
      <c r="D933" s="114"/>
      <c r="I933" s="129"/>
    </row>
    <row r="934">
      <c r="A934" s="114"/>
      <c r="C934" s="29"/>
      <c r="D934" s="114"/>
      <c r="I934" s="129"/>
    </row>
    <row r="935">
      <c r="A935" s="114"/>
      <c r="C935" s="29"/>
      <c r="D935" s="114"/>
      <c r="I935" s="129"/>
    </row>
    <row r="936">
      <c r="A936" s="114"/>
      <c r="C936" s="29"/>
      <c r="D936" s="114"/>
      <c r="I936" s="129"/>
    </row>
    <row r="937">
      <c r="A937" s="114"/>
      <c r="C937" s="29"/>
      <c r="D937" s="114"/>
      <c r="I937" s="129"/>
    </row>
    <row r="938">
      <c r="A938" s="114"/>
      <c r="C938" s="29"/>
      <c r="D938" s="114"/>
      <c r="I938" s="129"/>
    </row>
    <row r="939">
      <c r="A939" s="114"/>
      <c r="C939" s="29"/>
      <c r="D939" s="114"/>
      <c r="I939" s="129"/>
    </row>
    <row r="940">
      <c r="A940" s="114"/>
      <c r="C940" s="29"/>
      <c r="D940" s="114"/>
      <c r="I940" s="129"/>
    </row>
    <row r="941">
      <c r="A941" s="114"/>
      <c r="C941" s="29"/>
      <c r="D941" s="114"/>
      <c r="I941" s="129"/>
    </row>
    <row r="942">
      <c r="A942" s="114"/>
      <c r="C942" s="29"/>
      <c r="D942" s="114"/>
      <c r="I942" s="129"/>
    </row>
    <row r="943">
      <c r="A943" s="114"/>
      <c r="C943" s="29"/>
      <c r="D943" s="114"/>
      <c r="I943" s="129"/>
    </row>
    <row r="944">
      <c r="A944" s="114"/>
      <c r="C944" s="29"/>
      <c r="D944" s="114"/>
      <c r="I944" s="129"/>
    </row>
    <row r="945">
      <c r="A945" s="114"/>
      <c r="C945" s="29"/>
      <c r="D945" s="114"/>
      <c r="I945" s="129"/>
    </row>
    <row r="946">
      <c r="A946" s="114"/>
      <c r="C946" s="29"/>
      <c r="D946" s="114"/>
      <c r="I946" s="129"/>
    </row>
    <row r="947">
      <c r="A947" s="114"/>
      <c r="C947" s="29"/>
      <c r="D947" s="114"/>
      <c r="I947" s="129"/>
    </row>
    <row r="948">
      <c r="A948" s="114"/>
      <c r="C948" s="29"/>
      <c r="D948" s="114"/>
      <c r="I948" s="129"/>
    </row>
    <row r="949">
      <c r="A949" s="114"/>
      <c r="C949" s="29"/>
      <c r="D949" s="114"/>
      <c r="I949" s="129"/>
    </row>
    <row r="950">
      <c r="A950" s="114"/>
      <c r="C950" s="29"/>
      <c r="D950" s="114"/>
      <c r="I950" s="129"/>
    </row>
    <row r="951">
      <c r="A951" s="114"/>
      <c r="C951" s="29"/>
      <c r="D951" s="114"/>
      <c r="I951" s="129"/>
    </row>
    <row r="952">
      <c r="A952" s="114"/>
      <c r="C952" s="29"/>
      <c r="D952" s="114"/>
      <c r="I952" s="129"/>
    </row>
    <row r="953">
      <c r="A953" s="114"/>
      <c r="C953" s="29"/>
      <c r="D953" s="114"/>
      <c r="I953" s="129"/>
    </row>
    <row r="954">
      <c r="A954" s="114"/>
      <c r="C954" s="29"/>
      <c r="D954" s="114"/>
      <c r="I954" s="129"/>
    </row>
    <row r="955">
      <c r="A955" s="114"/>
      <c r="C955" s="29"/>
      <c r="D955" s="114"/>
      <c r="I955" s="129"/>
    </row>
    <row r="956">
      <c r="A956" s="114"/>
      <c r="C956" s="29"/>
      <c r="D956" s="114"/>
      <c r="I956" s="129"/>
    </row>
    <row r="957">
      <c r="A957" s="114"/>
      <c r="C957" s="29"/>
      <c r="D957" s="114"/>
      <c r="I957" s="129"/>
    </row>
    <row r="958">
      <c r="A958" s="114"/>
      <c r="C958" s="29"/>
      <c r="D958" s="114"/>
      <c r="I958" s="129"/>
    </row>
    <row r="959">
      <c r="A959" s="114"/>
      <c r="C959" s="29"/>
      <c r="D959" s="114"/>
      <c r="I959" s="129"/>
    </row>
    <row r="960">
      <c r="A960" s="114"/>
      <c r="C960" s="29"/>
      <c r="D960" s="114"/>
      <c r="I960" s="129"/>
    </row>
    <row r="961">
      <c r="A961" s="114"/>
      <c r="C961" s="29"/>
      <c r="D961" s="114"/>
      <c r="I961" s="129"/>
    </row>
    <row r="962">
      <c r="A962" s="114"/>
      <c r="C962" s="29"/>
      <c r="D962" s="114"/>
      <c r="I962" s="129"/>
    </row>
    <row r="963">
      <c r="A963" s="114"/>
      <c r="C963" s="29"/>
      <c r="D963" s="114"/>
      <c r="I963" s="129"/>
    </row>
    <row r="964">
      <c r="A964" s="114"/>
      <c r="C964" s="29"/>
      <c r="D964" s="114"/>
      <c r="I964" s="129"/>
    </row>
  </sheetData>
  <mergeCells count="1">
    <mergeCell ref="I1:I2"/>
  </mergeCells>
  <conditionalFormatting sqref="C3 C7">
    <cfRule type="cellIs" dxfId="6" priority="1" operator="lessThan">
      <formula>0</formula>
    </cfRule>
  </conditionalFormatting>
  <conditionalFormatting sqref="C2 C6">
    <cfRule type="cellIs" dxfId="7" priority="2" operator="greaterThanOrEqual">
      <formula>1*C4</formula>
    </cfRule>
  </conditionalFormatting>
  <conditionalFormatting sqref="C2 C6">
    <cfRule type="cellIs" dxfId="8" priority="3" operator="lessThan">
      <formula>1*C4</formula>
    </cfRule>
  </conditionalFormatting>
  <conditionalFormatting sqref="C4 C12">
    <cfRule type="cellIs" dxfId="7" priority="4" operator="greaterThan">
      <formula>"&amp;B2"</formula>
    </cfRule>
  </conditionalFormatting>
  <conditionalFormatting sqref="C3 C7">
    <cfRule type="cellIs" dxfId="9" priority="5" operator="greaterThan">
      <formula>0</formula>
    </cfRule>
  </conditionalFormatting>
  <conditionalFormatting sqref="C20">
    <cfRule type="cellIs" dxfId="5" priority="6" operator="between">
      <formula>249</formula>
      <formula>200</formula>
    </cfRule>
  </conditionalFormatting>
  <conditionalFormatting sqref="C20">
    <cfRule type="cellIs" dxfId="10" priority="7" operator="between">
      <formula>199</formula>
      <formula>100</formula>
    </cfRule>
  </conditionalFormatting>
  <conditionalFormatting sqref="C20">
    <cfRule type="cellIs" dxfId="11" priority="8" operator="lessThan">
      <formula>99</formula>
    </cfRule>
  </conditionalFormatting>
  <conditionalFormatting sqref="A13:A303">
    <cfRule type="cellIs" dxfId="12" priority="9" operator="equal">
      <formula>"x"</formula>
    </cfRule>
  </conditionalFormatting>
  <conditionalFormatting sqref="C9">
    <cfRule type="cellIs" dxfId="13" priority="10" operator="lessThan">
      <formula>100</formula>
    </cfRule>
  </conditionalFormatting>
  <conditionalFormatting sqref="C9">
    <cfRule type="cellIs" dxfId="14" priority="11" operator="greaterThanOrEqual">
      <formula>100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35.13"/>
    <col customWidth="1" min="3" max="3" width="11.25"/>
    <col customWidth="1" min="4" max="4" width="9.88"/>
    <col customWidth="1" min="5" max="5" width="8.5"/>
    <col customWidth="1" min="6" max="6" width="8.88"/>
    <col customWidth="1" min="7" max="7" width="8.38"/>
  </cols>
  <sheetData>
    <row r="1">
      <c r="A1" s="5"/>
      <c r="B1" s="7" t="s">
        <v>2</v>
      </c>
      <c r="C1" s="10"/>
      <c r="D1" s="13" t="s">
        <v>7</v>
      </c>
      <c r="E1" s="18" t="s">
        <v>8</v>
      </c>
      <c r="F1" s="20" t="s">
        <v>10</v>
      </c>
    </row>
    <row r="2">
      <c r="A2" s="11" t="s">
        <v>11</v>
      </c>
      <c r="B2" s="19" t="s">
        <v>12</v>
      </c>
      <c r="C2" s="21">
        <f>DISPONIBILITA!C34</f>
        <v>13041</v>
      </c>
      <c r="D2" s="24"/>
      <c r="E2" s="27"/>
      <c r="F2" s="31"/>
    </row>
    <row r="3">
      <c r="A3" s="11" t="s">
        <v>16</v>
      </c>
      <c r="B3" s="19" t="s">
        <v>17</v>
      </c>
      <c r="C3" s="21">
        <f>DISPONIBILITA!C38</f>
        <v>372</v>
      </c>
      <c r="D3" s="34"/>
      <c r="E3" s="36"/>
      <c r="F3" s="37"/>
    </row>
    <row r="4">
      <c r="A4" s="38" t="s">
        <v>16</v>
      </c>
      <c r="B4" s="39" t="s">
        <v>20</v>
      </c>
      <c r="C4" s="21">
        <f>DISPONIBILITA!C42</f>
        <v>532</v>
      </c>
      <c r="D4" s="34"/>
      <c r="E4" s="36"/>
      <c r="F4" s="37"/>
    </row>
    <row r="5">
      <c r="A5" s="40"/>
      <c r="B5" s="42" t="s">
        <v>22</v>
      </c>
      <c r="C5" s="44">
        <f>C2+C3+C4</f>
        <v>13945</v>
      </c>
      <c r="D5" s="34"/>
      <c r="E5" s="36"/>
      <c r="F5" s="37"/>
    </row>
    <row r="6">
      <c r="A6" s="46"/>
      <c r="B6" s="47" t="s">
        <v>25</v>
      </c>
      <c r="C6" s="49">
        <f>(IntesaCC!C4+FindomesticCC!C4)</f>
        <v>3186.369254</v>
      </c>
      <c r="D6" s="34"/>
      <c r="E6" s="36"/>
      <c r="F6" s="37"/>
    </row>
    <row r="7">
      <c r="A7" s="11"/>
      <c r="B7" s="53" t="s">
        <v>31</v>
      </c>
      <c r="C7" s="57">
        <f>IntesaCC!C3</f>
        <v>10064.63075</v>
      </c>
      <c r="D7" s="34"/>
      <c r="E7" s="36"/>
      <c r="F7" s="37"/>
    </row>
    <row r="8">
      <c r="A8" s="11"/>
      <c r="B8" s="53" t="s">
        <v>34</v>
      </c>
      <c r="C8" s="57">
        <f>C2-C7</f>
        <v>2976.369254</v>
      </c>
      <c r="D8" s="34"/>
      <c r="E8" s="36"/>
      <c r="F8" s="37"/>
    </row>
    <row r="9">
      <c r="A9" s="11"/>
      <c r="B9" s="53" t="s">
        <v>35</v>
      </c>
      <c r="C9" s="57">
        <f>C3+C7</f>
        <v>10436.63075</v>
      </c>
      <c r="D9" s="34"/>
      <c r="E9" s="36"/>
      <c r="F9" s="37"/>
    </row>
    <row r="10">
      <c r="A10" s="11"/>
      <c r="B10" s="53" t="s">
        <v>37</v>
      </c>
      <c r="C10" s="57"/>
      <c r="D10" s="34"/>
      <c r="E10" s="36"/>
      <c r="F10" s="37"/>
    </row>
    <row r="11">
      <c r="A11" s="11"/>
      <c r="B11" s="53" t="s">
        <v>38</v>
      </c>
      <c r="C11" s="57">
        <f>C5+C10</f>
        <v>13945</v>
      </c>
      <c r="D11" s="34"/>
      <c r="E11" s="36"/>
      <c r="F11" s="37"/>
    </row>
    <row r="12">
      <c r="A12" s="11"/>
      <c r="B12" s="63" t="s">
        <v>36</v>
      </c>
      <c r="C12" s="65"/>
      <c r="D12" s="34"/>
      <c r="E12" s="36"/>
      <c r="F12" s="37"/>
    </row>
    <row r="13">
      <c r="A13" s="11" t="s">
        <v>40</v>
      </c>
      <c r="B13" s="69" t="s">
        <v>41</v>
      </c>
      <c r="C13" s="70">
        <v>430.0</v>
      </c>
      <c r="D13" s="34"/>
      <c r="E13" s="36"/>
      <c r="F13" s="37"/>
    </row>
    <row r="14">
      <c r="A14" s="11" t="s">
        <v>40</v>
      </c>
      <c r="B14" s="69" t="s">
        <v>43</v>
      </c>
      <c r="C14" s="73">
        <f>30*(18+3)</f>
        <v>630</v>
      </c>
      <c r="D14" s="75">
        <v>46251.0</v>
      </c>
      <c r="E14" s="76">
        <v>30.0</v>
      </c>
      <c r="F14" s="23">
        <f>IF(D14&gt;0,DATEDIF(IntesaCC!$C$1,D14,"D"),"")</f>
        <v>9</v>
      </c>
    </row>
    <row r="15">
      <c r="A15" s="11" t="s">
        <v>40</v>
      </c>
      <c r="B15" s="69" t="s">
        <v>46</v>
      </c>
      <c r="C15" s="70">
        <v>10.0</v>
      </c>
      <c r="D15" s="34"/>
      <c r="E15" s="36"/>
      <c r="F15" s="37"/>
    </row>
    <row r="16">
      <c r="A16" s="11" t="s">
        <v>40</v>
      </c>
      <c r="B16" s="69" t="s">
        <v>47</v>
      </c>
      <c r="C16" s="70">
        <v>10.0</v>
      </c>
      <c r="D16" s="34"/>
      <c r="E16" s="36"/>
      <c r="F16" s="37"/>
    </row>
    <row r="17">
      <c r="A17" s="11" t="s">
        <v>40</v>
      </c>
      <c r="B17" s="69" t="s">
        <v>48</v>
      </c>
      <c r="C17" s="70">
        <v>10.0</v>
      </c>
      <c r="D17" s="34"/>
      <c r="E17" s="36"/>
      <c r="F17" s="37"/>
    </row>
    <row r="18">
      <c r="A18" s="11" t="s">
        <v>40</v>
      </c>
      <c r="B18" s="69" t="s">
        <v>49</v>
      </c>
      <c r="C18" s="70">
        <v>10.0</v>
      </c>
      <c r="D18" s="34"/>
      <c r="E18" s="36"/>
      <c r="F18" s="37"/>
    </row>
    <row r="19">
      <c r="A19" s="11" t="s">
        <v>40</v>
      </c>
      <c r="B19" s="69" t="s">
        <v>50</v>
      </c>
      <c r="C19" s="70">
        <v>45.0</v>
      </c>
      <c r="D19" s="34"/>
      <c r="E19" s="36"/>
      <c r="F19" s="37"/>
    </row>
    <row r="20">
      <c r="A20" s="11" t="s">
        <v>40</v>
      </c>
      <c r="B20" s="69" t="s">
        <v>52</v>
      </c>
      <c r="C20" s="70">
        <v>250.0</v>
      </c>
      <c r="D20" s="34"/>
      <c r="E20" s="36"/>
      <c r="F20" s="37"/>
    </row>
    <row r="21">
      <c r="A21" s="11" t="s">
        <v>53</v>
      </c>
      <c r="B21" s="81" t="s">
        <v>54</v>
      </c>
      <c r="C21" s="84">
        <f>(contodiletta!C101)</f>
        <v>200</v>
      </c>
      <c r="D21" s="34"/>
      <c r="E21" s="36"/>
      <c r="F21" s="37"/>
    </row>
    <row r="22">
      <c r="A22" s="11"/>
      <c r="B22" s="69"/>
      <c r="C22" s="70"/>
      <c r="D22" s="34"/>
      <c r="E22" s="36"/>
      <c r="F22" s="37"/>
    </row>
    <row r="23">
      <c r="A23" s="11"/>
      <c r="B23" s="69"/>
      <c r="C23" s="70"/>
      <c r="D23" s="34"/>
      <c r="E23" s="36"/>
      <c r="F23" s="37"/>
    </row>
    <row r="24">
      <c r="A24" s="11"/>
      <c r="B24" s="69"/>
      <c r="C24" s="70"/>
      <c r="D24" s="34"/>
      <c r="E24" s="36"/>
      <c r="F24" s="37"/>
    </row>
    <row r="25">
      <c r="A25" s="11"/>
      <c r="B25" s="69"/>
      <c r="C25" s="70"/>
      <c r="D25" s="34"/>
      <c r="E25" s="36"/>
      <c r="F25" s="37"/>
    </row>
    <row r="26">
      <c r="A26" s="11"/>
      <c r="B26" s="69"/>
      <c r="C26" s="70"/>
      <c r="D26" s="34"/>
      <c r="E26" s="36"/>
      <c r="F26" s="37"/>
    </row>
    <row r="27">
      <c r="A27" s="11" t="s">
        <v>53</v>
      </c>
      <c r="B27" s="69" t="s">
        <v>59</v>
      </c>
      <c r="C27" s="70">
        <v>10.0</v>
      </c>
      <c r="D27" s="34"/>
      <c r="E27" s="36"/>
      <c r="F27" s="37"/>
    </row>
    <row r="28">
      <c r="A28" s="11"/>
      <c r="B28" s="92" t="s">
        <v>61</v>
      </c>
      <c r="C28" s="93"/>
      <c r="D28" s="94"/>
      <c r="E28" s="95"/>
      <c r="F28" s="98"/>
    </row>
    <row r="29">
      <c r="A29" s="11" t="s">
        <v>40</v>
      </c>
      <c r="B29" s="97" t="s">
        <v>64</v>
      </c>
      <c r="C29" s="100">
        <v>450.0</v>
      </c>
      <c r="D29" s="75">
        <v>46349.0</v>
      </c>
      <c r="E29" s="76">
        <v>365.0</v>
      </c>
      <c r="F29" s="23">
        <f>IF(D29&gt;0,DATEDIF(IntesaCC!$C$1,D29,"D"),"")</f>
        <v>107</v>
      </c>
    </row>
    <row r="30">
      <c r="A30" s="11" t="s">
        <v>40</v>
      </c>
      <c r="B30" s="97" t="s">
        <v>66</v>
      </c>
      <c r="C30" s="100">
        <v>250.0</v>
      </c>
      <c r="D30" s="75">
        <v>46314.0</v>
      </c>
      <c r="E30" s="76">
        <v>365.0</v>
      </c>
      <c r="F30" s="23">
        <f>IF(D30&gt;0,DATEDIF(IntesaCC!$C$1,D30,"D"),"")</f>
        <v>72</v>
      </c>
    </row>
    <row r="31">
      <c r="A31" s="11" t="s">
        <v>40</v>
      </c>
      <c r="B31" s="97" t="s">
        <v>68</v>
      </c>
      <c r="C31" s="100">
        <v>132.0</v>
      </c>
      <c r="D31" s="75">
        <v>46290.0</v>
      </c>
      <c r="E31" s="76">
        <v>365.0</v>
      </c>
      <c r="F31" s="23">
        <f>IF(D31&gt;0,DATEDIF(IntesaCC!$C$1,D31,"D"),"")</f>
        <v>48</v>
      </c>
    </row>
    <row r="32">
      <c r="A32" s="11" t="s">
        <v>40</v>
      </c>
      <c r="B32" s="97" t="s">
        <v>71</v>
      </c>
      <c r="C32" s="100">
        <v>150.0</v>
      </c>
      <c r="D32" s="75">
        <v>46252.0</v>
      </c>
      <c r="E32" s="76">
        <v>90.0</v>
      </c>
      <c r="F32" s="23">
        <f>IF(D32&gt;0,DATEDIF(IntesaCC!$C$1,D32,"D"),"")</f>
        <v>10</v>
      </c>
    </row>
    <row r="33">
      <c r="A33" s="11" t="s">
        <v>40</v>
      </c>
      <c r="B33" s="97" t="s">
        <v>73</v>
      </c>
      <c r="C33" s="100">
        <v>161.0</v>
      </c>
      <c r="D33" s="75">
        <v>46290.0</v>
      </c>
      <c r="E33" s="76">
        <v>365.0</v>
      </c>
      <c r="F33" s="23">
        <f>IF(D33&gt;0,DATEDIF(IntesaCC!$C$1,D33,"D"),"")</f>
        <v>48</v>
      </c>
    </row>
    <row r="34">
      <c r="A34" s="11" t="s">
        <v>40</v>
      </c>
      <c r="B34" s="97" t="s">
        <v>75</v>
      </c>
      <c r="C34" s="100">
        <v>90.0</v>
      </c>
      <c r="D34" s="75">
        <v>46326.0</v>
      </c>
      <c r="E34" s="76">
        <v>180.0</v>
      </c>
      <c r="F34" s="23">
        <f>IF(D34&gt;0,DATEDIF(IntesaCC!$C$1,D34,"D"),"")</f>
        <v>84</v>
      </c>
      <c r="G34" s="105" t="s">
        <v>77</v>
      </c>
    </row>
    <row r="35">
      <c r="A35" s="11" t="s">
        <v>40</v>
      </c>
      <c r="B35" s="97" t="s">
        <v>79</v>
      </c>
      <c r="C35" s="100">
        <v>350.0</v>
      </c>
      <c r="D35" s="75">
        <v>46274.0</v>
      </c>
      <c r="E35" s="76">
        <v>60.0</v>
      </c>
      <c r="F35" s="23">
        <f>IF(D35&gt;0,DATEDIF(IntesaCC!$C$1,D35,"D"),"")</f>
        <v>32</v>
      </c>
    </row>
    <row r="36">
      <c r="A36" s="11" t="s">
        <v>40</v>
      </c>
      <c r="B36" s="97" t="s">
        <v>80</v>
      </c>
      <c r="C36" s="100">
        <v>326.0</v>
      </c>
      <c r="D36" s="75">
        <v>46247.0</v>
      </c>
      <c r="E36" s="76">
        <v>90.0</v>
      </c>
      <c r="F36" s="23">
        <f>IF(D36&gt;0,DATEDIF(IntesaCC!$C$1,D36,"D"),"")</f>
        <v>5</v>
      </c>
    </row>
    <row r="37">
      <c r="A37" s="11" t="s">
        <v>40</v>
      </c>
      <c r="B37" s="97" t="s">
        <v>83</v>
      </c>
      <c r="C37" s="100">
        <v>220.0</v>
      </c>
      <c r="D37" s="109">
        <v>46326.0</v>
      </c>
      <c r="E37" s="76">
        <v>365.0</v>
      </c>
      <c r="F37" s="23">
        <f>IF(D37&gt;0,DATEDIF(IntesaCC!$C$1,D37,"D"),"")</f>
        <v>84</v>
      </c>
    </row>
    <row r="38">
      <c r="A38" s="11" t="s">
        <v>40</v>
      </c>
      <c r="B38" s="97" t="s">
        <v>85</v>
      </c>
      <c r="C38" s="100">
        <v>700.0</v>
      </c>
      <c r="D38" s="109">
        <v>47058.0</v>
      </c>
      <c r="E38" s="76">
        <v>1825.0</v>
      </c>
      <c r="F38" s="23">
        <f>IF(D38&gt;0,DATEDIF(IntesaCC!$C$1,D38,"D"),"")</f>
        <v>816</v>
      </c>
    </row>
    <row r="39">
      <c r="A39" s="11" t="s">
        <v>40</v>
      </c>
      <c r="B39" s="97" t="s">
        <v>86</v>
      </c>
      <c r="C39" s="100">
        <v>100.0</v>
      </c>
      <c r="D39" s="109">
        <v>46326.0</v>
      </c>
      <c r="E39" s="76">
        <v>365.0</v>
      </c>
      <c r="F39" s="23">
        <f>IF(D39&gt;0,DATEDIF(IntesaCC!$C$1,D39,"D"),"")</f>
        <v>84</v>
      </c>
    </row>
    <row r="40">
      <c r="A40" s="11" t="s">
        <v>40</v>
      </c>
      <c r="B40" s="97" t="s">
        <v>88</v>
      </c>
      <c r="C40" s="100">
        <v>13.0</v>
      </c>
      <c r="D40" s="109">
        <v>46345.0</v>
      </c>
      <c r="E40" s="76">
        <v>365.0</v>
      </c>
      <c r="F40" s="23">
        <f>IF(D40&gt;0,DATEDIF(IntesaCC!$C$1,D40,"D"),"")</f>
        <v>103</v>
      </c>
    </row>
    <row r="41">
      <c r="A41" s="11" t="s">
        <v>40</v>
      </c>
      <c r="B41" s="97" t="s">
        <v>89</v>
      </c>
      <c r="C41" s="100">
        <v>80.0</v>
      </c>
      <c r="D41" s="109">
        <v>46996.0</v>
      </c>
      <c r="E41" s="76">
        <f t="shared" ref="E41:E42" si="1">365*2</f>
        <v>730</v>
      </c>
      <c r="F41" s="23">
        <f>IF(D41&gt;0,DATEDIF(IntesaCC!$C$1,D41,"D"),"")</f>
        <v>754</v>
      </c>
    </row>
    <row r="42">
      <c r="A42" s="11" t="s">
        <v>40</v>
      </c>
      <c r="B42" s="97" t="s">
        <v>90</v>
      </c>
      <c r="C42" s="100">
        <v>80.0</v>
      </c>
      <c r="D42" s="109">
        <v>46721.0</v>
      </c>
      <c r="E42" s="76">
        <f t="shared" si="1"/>
        <v>730</v>
      </c>
      <c r="F42" s="23">
        <f>IF(D42&gt;0,DATEDIF(IntesaCC!$C$1,D42,"D"),"")</f>
        <v>479</v>
      </c>
    </row>
    <row r="43">
      <c r="A43" s="11"/>
      <c r="B43" s="97"/>
      <c r="C43" s="100"/>
      <c r="D43" s="109"/>
      <c r="E43" s="76"/>
      <c r="F43" s="23" t="str">
        <f>IF(D43&gt;0,DATEDIF(IntesaCC!$C$1,D43,"D"),"")</f>
        <v/>
      </c>
    </row>
    <row r="44">
      <c r="A44" s="1"/>
      <c r="B44" s="112" t="s">
        <v>87</v>
      </c>
      <c r="C44" s="113"/>
      <c r="D44" s="24"/>
      <c r="E44" s="27"/>
      <c r="F44" s="31"/>
    </row>
    <row r="45">
      <c r="A45" s="1"/>
      <c r="B45" s="115"/>
      <c r="C45" s="116"/>
      <c r="D45" s="117"/>
      <c r="E45" s="36"/>
      <c r="F45" s="37" t="str">
        <f>IF(D45&gt;0,DATEDIF(IntesaCC!$C$1,D45,"M"),"")</f>
        <v/>
      </c>
    </row>
    <row r="46">
      <c r="A46" s="1"/>
      <c r="B46" s="118"/>
      <c r="C46" s="119"/>
      <c r="D46" s="34"/>
      <c r="E46" s="36"/>
      <c r="F46" s="37"/>
    </row>
    <row r="47">
      <c r="A47" s="1"/>
      <c r="B47" s="120"/>
      <c r="C47" s="121"/>
      <c r="D47" s="34"/>
      <c r="E47" s="36"/>
      <c r="F47" s="37"/>
    </row>
    <row r="48">
      <c r="A48" s="1"/>
      <c r="B48" s="120"/>
      <c r="C48" s="121"/>
      <c r="D48" s="34"/>
      <c r="E48" s="36"/>
      <c r="F48" s="37"/>
    </row>
    <row r="49">
      <c r="A49" s="1"/>
      <c r="B49" s="120"/>
      <c r="C49" s="121"/>
      <c r="D49" s="34"/>
      <c r="E49" s="36"/>
      <c r="F49" s="37"/>
    </row>
    <row r="50">
      <c r="A50" s="1"/>
      <c r="B50" s="120"/>
      <c r="C50" s="121"/>
      <c r="D50" s="34"/>
      <c r="E50" s="36"/>
      <c r="F50" s="37"/>
    </row>
    <row r="51">
      <c r="A51" s="1"/>
      <c r="B51" s="115"/>
      <c r="C51" s="116"/>
      <c r="D51" s="34"/>
      <c r="E51" s="36"/>
      <c r="F51" s="37"/>
    </row>
    <row r="52">
      <c r="A52" s="1"/>
      <c r="B52" s="115"/>
      <c r="C52" s="116"/>
      <c r="D52" s="34"/>
      <c r="E52" s="36"/>
      <c r="F52" s="37"/>
    </row>
    <row r="53">
      <c r="A53" s="122"/>
      <c r="B53" s="37"/>
      <c r="C53" s="123"/>
      <c r="D53" s="34"/>
      <c r="E53" s="36"/>
      <c r="F53" s="37"/>
    </row>
    <row r="54">
      <c r="A54" s="122"/>
      <c r="B54" s="37"/>
      <c r="C54" s="123"/>
      <c r="D54" s="34"/>
      <c r="E54" s="36"/>
      <c r="F54" s="37"/>
    </row>
    <row r="55">
      <c r="A55" s="122"/>
      <c r="B55" s="37"/>
      <c r="C55" s="123"/>
      <c r="D55" s="34"/>
      <c r="E55" s="36"/>
      <c r="F55" s="37"/>
    </row>
    <row r="56">
      <c r="A56" s="122"/>
      <c r="B56" s="37"/>
      <c r="C56" s="123"/>
      <c r="D56" s="34"/>
      <c r="E56" s="36"/>
      <c r="F56" s="37"/>
    </row>
    <row r="57">
      <c r="A57" s="122"/>
      <c r="B57" s="37"/>
      <c r="C57" s="123"/>
      <c r="D57" s="34"/>
      <c r="E57" s="36"/>
      <c r="F57" s="37"/>
    </row>
    <row r="58">
      <c r="A58" s="122"/>
      <c r="B58" s="37"/>
      <c r="C58" s="123"/>
      <c r="D58" s="34"/>
      <c r="E58" s="36"/>
      <c r="F58" s="37"/>
    </row>
    <row r="59">
      <c r="A59" s="122"/>
      <c r="B59" s="37"/>
      <c r="C59" s="123"/>
      <c r="D59" s="34"/>
      <c r="E59" s="36"/>
      <c r="F59" s="37"/>
    </row>
    <row r="60">
      <c r="A60" s="122"/>
      <c r="B60" s="37"/>
      <c r="C60" s="123"/>
      <c r="D60" s="34"/>
      <c r="E60" s="36"/>
      <c r="F60" s="37"/>
    </row>
    <row r="61">
      <c r="A61" s="122"/>
      <c r="B61" s="37"/>
      <c r="C61" s="123"/>
      <c r="D61" s="34"/>
      <c r="E61" s="36"/>
      <c r="F61" s="37"/>
    </row>
    <row r="62">
      <c r="A62" s="122"/>
      <c r="B62" s="37"/>
      <c r="C62" s="123"/>
      <c r="D62" s="34"/>
      <c r="E62" s="36"/>
      <c r="F62" s="37"/>
    </row>
    <row r="63">
      <c r="A63" s="122"/>
      <c r="B63" s="37"/>
      <c r="C63" s="123"/>
      <c r="D63" s="34"/>
      <c r="E63" s="36"/>
      <c r="F63" s="37"/>
    </row>
    <row r="64">
      <c r="A64" s="122"/>
      <c r="B64" s="37"/>
      <c r="C64" s="123"/>
      <c r="D64" s="34"/>
      <c r="E64" s="36"/>
      <c r="F64" s="37"/>
    </row>
    <row r="65">
      <c r="A65" s="122"/>
      <c r="B65" s="37"/>
      <c r="C65" s="123"/>
      <c r="D65" s="34"/>
      <c r="E65" s="36"/>
      <c r="F65" s="37"/>
    </row>
    <row r="66">
      <c r="A66" s="122"/>
      <c r="B66" s="37"/>
      <c r="C66" s="123"/>
      <c r="D66" s="34"/>
      <c r="E66" s="36"/>
      <c r="F66" s="37"/>
    </row>
    <row r="67">
      <c r="A67" s="122"/>
      <c r="B67" s="37"/>
      <c r="C67" s="123"/>
      <c r="D67" s="34"/>
      <c r="E67" s="36"/>
      <c r="F67" s="37"/>
    </row>
    <row r="68">
      <c r="A68" s="122"/>
      <c r="B68" s="37"/>
      <c r="C68" s="123"/>
      <c r="D68" s="34"/>
      <c r="E68" s="36"/>
      <c r="F68" s="37"/>
    </row>
    <row r="69">
      <c r="A69" s="122"/>
      <c r="B69" s="37"/>
      <c r="C69" s="123"/>
      <c r="D69" s="34"/>
      <c r="E69" s="36"/>
      <c r="F69" s="37"/>
    </row>
    <row r="70">
      <c r="A70" s="122"/>
      <c r="B70" s="37"/>
      <c r="C70" s="123"/>
      <c r="D70" s="34"/>
      <c r="E70" s="36"/>
      <c r="F70" s="37"/>
    </row>
    <row r="71">
      <c r="A71" s="122"/>
      <c r="B71" s="37"/>
      <c r="C71" s="123"/>
      <c r="D71" s="34"/>
      <c r="E71" s="36"/>
      <c r="F71" s="37"/>
    </row>
    <row r="72">
      <c r="A72" s="122"/>
      <c r="B72" s="37"/>
      <c r="C72" s="123"/>
      <c r="D72" s="34"/>
      <c r="E72" s="36"/>
      <c r="F72" s="37"/>
    </row>
    <row r="73">
      <c r="A73" s="122"/>
      <c r="B73" s="37"/>
      <c r="C73" s="123"/>
      <c r="D73" s="34"/>
      <c r="E73" s="36"/>
      <c r="F73" s="37"/>
    </row>
    <row r="74">
      <c r="A74" s="122"/>
      <c r="B74" s="37"/>
      <c r="C74" s="123"/>
      <c r="D74" s="34"/>
      <c r="E74" s="36"/>
      <c r="F74" s="37"/>
    </row>
    <row r="75">
      <c r="A75" s="122"/>
      <c r="B75" s="37"/>
      <c r="C75" s="123"/>
      <c r="D75" s="34"/>
      <c r="E75" s="36"/>
      <c r="F75" s="37"/>
    </row>
    <row r="76">
      <c r="A76" s="122"/>
      <c r="B76" s="37"/>
      <c r="C76" s="123"/>
      <c r="D76" s="34"/>
      <c r="E76" s="36"/>
      <c r="F76" s="37"/>
    </row>
    <row r="77">
      <c r="A77" s="122"/>
      <c r="B77" s="37"/>
      <c r="C77" s="123"/>
      <c r="D77" s="34"/>
      <c r="E77" s="36"/>
      <c r="F77" s="37"/>
    </row>
    <row r="78">
      <c r="A78" s="122"/>
      <c r="B78" s="37"/>
      <c r="C78" s="123"/>
      <c r="D78" s="34"/>
      <c r="E78" s="36"/>
      <c r="F78" s="37"/>
    </row>
    <row r="79">
      <c r="A79" s="122"/>
      <c r="B79" s="37"/>
      <c r="C79" s="123"/>
      <c r="D79" s="34"/>
      <c r="E79" s="36"/>
      <c r="F79" s="37"/>
    </row>
    <row r="80">
      <c r="A80" s="122"/>
      <c r="B80" s="37"/>
      <c r="C80" s="123"/>
      <c r="D80" s="34"/>
      <c r="E80" s="36"/>
      <c r="F80" s="37"/>
    </row>
    <row r="81">
      <c r="A81" s="122"/>
      <c r="B81" s="37"/>
      <c r="C81" s="123"/>
      <c r="D81" s="34"/>
      <c r="E81" s="36"/>
      <c r="F81" s="37"/>
    </row>
    <row r="82">
      <c r="A82" s="122"/>
      <c r="B82" s="37"/>
      <c r="C82" s="123"/>
      <c r="D82" s="34"/>
      <c r="E82" s="36"/>
      <c r="F82" s="37"/>
    </row>
    <row r="83">
      <c r="A83" s="122"/>
      <c r="B83" s="37"/>
      <c r="C83" s="123"/>
      <c r="D83" s="34"/>
      <c r="E83" s="36"/>
      <c r="F83" s="37"/>
    </row>
    <row r="84">
      <c r="A84" s="122"/>
      <c r="B84" s="37"/>
      <c r="C84" s="123"/>
      <c r="D84" s="34"/>
      <c r="E84" s="36"/>
      <c r="F84" s="37"/>
    </row>
    <row r="85">
      <c r="A85" s="122"/>
      <c r="B85" s="37"/>
      <c r="C85" s="123"/>
      <c r="D85" s="34"/>
      <c r="E85" s="36"/>
      <c r="F85" s="37"/>
    </row>
    <row r="86">
      <c r="A86" s="122"/>
      <c r="B86" s="37"/>
      <c r="C86" s="123"/>
      <c r="D86" s="34"/>
      <c r="E86" s="36"/>
      <c r="F86" s="37"/>
    </row>
    <row r="87">
      <c r="A87" s="122"/>
      <c r="B87" s="37"/>
      <c r="C87" s="123"/>
      <c r="D87" s="34"/>
      <c r="E87" s="36"/>
      <c r="F87" s="37"/>
    </row>
    <row r="88">
      <c r="A88" s="122"/>
      <c r="B88" s="37"/>
      <c r="C88" s="123"/>
      <c r="D88" s="34"/>
      <c r="E88" s="36"/>
      <c r="F88" s="37"/>
    </row>
    <row r="89">
      <c r="A89" s="122"/>
      <c r="B89" s="37"/>
      <c r="C89" s="123"/>
      <c r="D89" s="34"/>
      <c r="E89" s="36"/>
      <c r="F89" s="37"/>
    </row>
    <row r="90">
      <c r="A90" s="122"/>
      <c r="B90" s="37"/>
      <c r="C90" s="123"/>
      <c r="D90" s="34"/>
      <c r="E90" s="36"/>
      <c r="F90" s="37"/>
    </row>
    <row r="91">
      <c r="A91" s="122"/>
      <c r="B91" s="37"/>
      <c r="C91" s="123"/>
      <c r="D91" s="34"/>
      <c r="E91" s="36"/>
      <c r="F91" s="37"/>
    </row>
    <row r="92">
      <c r="A92" s="122"/>
      <c r="B92" s="37"/>
      <c r="C92" s="123"/>
      <c r="D92" s="34"/>
      <c r="E92" s="36"/>
      <c r="F92" s="37"/>
    </row>
    <row r="93">
      <c r="A93" s="122"/>
      <c r="B93" s="37"/>
      <c r="C93" s="123"/>
      <c r="D93" s="34"/>
      <c r="E93" s="36"/>
      <c r="F93" s="37"/>
    </row>
    <row r="94">
      <c r="A94" s="122"/>
      <c r="B94" s="37"/>
      <c r="C94" s="123"/>
      <c r="D94" s="34"/>
      <c r="E94" s="36"/>
      <c r="F94" s="37"/>
    </row>
    <row r="95">
      <c r="A95" s="122"/>
      <c r="B95" s="37"/>
      <c r="C95" s="123"/>
      <c r="D95" s="34"/>
      <c r="E95" s="36"/>
      <c r="F95" s="37"/>
    </row>
    <row r="96">
      <c r="A96" s="122"/>
      <c r="B96" s="37"/>
      <c r="C96" s="123"/>
      <c r="D96" s="34"/>
      <c r="E96" s="36"/>
      <c r="F96" s="37"/>
    </row>
    <row r="97">
      <c r="A97" s="122"/>
      <c r="B97" s="37"/>
      <c r="C97" s="123"/>
      <c r="D97" s="34"/>
      <c r="E97" s="36"/>
      <c r="F97" s="37"/>
    </row>
    <row r="98">
      <c r="A98" s="122"/>
      <c r="B98" s="37"/>
      <c r="C98" s="123"/>
      <c r="D98" s="34"/>
      <c r="E98" s="36"/>
      <c r="F98" s="37"/>
    </row>
    <row r="99">
      <c r="A99" s="122"/>
      <c r="B99" s="37"/>
      <c r="C99" s="123"/>
      <c r="D99" s="34"/>
      <c r="E99" s="36"/>
      <c r="F99" s="37"/>
    </row>
    <row r="100">
      <c r="A100" s="122"/>
      <c r="B100" s="37"/>
      <c r="C100" s="123"/>
      <c r="D100" s="34"/>
      <c r="E100" s="36"/>
      <c r="F100" s="37"/>
    </row>
    <row r="101">
      <c r="A101" s="122"/>
      <c r="B101" s="37"/>
      <c r="C101" s="123"/>
      <c r="D101" s="34"/>
      <c r="E101" s="36"/>
      <c r="F101" s="37"/>
    </row>
    <row r="102">
      <c r="A102" s="122"/>
      <c r="B102" s="37"/>
      <c r="C102" s="123"/>
      <c r="D102" s="34"/>
      <c r="E102" s="36"/>
      <c r="F102" s="37"/>
    </row>
    <row r="103">
      <c r="A103" s="122"/>
      <c r="B103" s="37"/>
      <c r="C103" s="123"/>
      <c r="D103" s="34"/>
      <c r="E103" s="36"/>
      <c r="F103" s="37"/>
    </row>
    <row r="104">
      <c r="A104" s="122"/>
      <c r="B104" s="37"/>
      <c r="C104" s="123"/>
      <c r="D104" s="34"/>
      <c r="E104" s="36"/>
      <c r="F104" s="37"/>
    </row>
    <row r="105">
      <c r="A105" s="122"/>
      <c r="B105" s="37"/>
      <c r="C105" s="123"/>
      <c r="D105" s="34"/>
      <c r="E105" s="36"/>
      <c r="F105" s="37"/>
    </row>
    <row r="106">
      <c r="A106" s="122"/>
      <c r="B106" s="37"/>
      <c r="C106" s="123"/>
      <c r="D106" s="34"/>
      <c r="E106" s="36"/>
      <c r="F106" s="37"/>
    </row>
    <row r="107">
      <c r="A107" s="122"/>
      <c r="B107" s="37"/>
      <c r="C107" s="123"/>
      <c r="D107" s="34"/>
      <c r="E107" s="36"/>
      <c r="F107" s="37"/>
    </row>
    <row r="108">
      <c r="A108" s="122"/>
      <c r="B108" s="37"/>
      <c r="C108" s="123"/>
      <c r="D108" s="34"/>
      <c r="E108" s="36"/>
      <c r="F108" s="37"/>
    </row>
    <row r="109">
      <c r="A109" s="122"/>
      <c r="B109" s="37"/>
      <c r="C109" s="123"/>
      <c r="D109" s="34"/>
      <c r="E109" s="36"/>
      <c r="F109" s="37"/>
    </row>
    <row r="110">
      <c r="A110" s="122"/>
      <c r="B110" s="37"/>
      <c r="C110" s="123"/>
      <c r="D110" s="34"/>
      <c r="E110" s="36"/>
      <c r="F110" s="37"/>
    </row>
    <row r="111">
      <c r="A111" s="122"/>
      <c r="B111" s="37"/>
      <c r="C111" s="123"/>
      <c r="D111" s="34"/>
      <c r="E111" s="36"/>
      <c r="F111" s="37"/>
    </row>
    <row r="112">
      <c r="A112" s="122"/>
      <c r="B112" s="37"/>
      <c r="C112" s="123"/>
      <c r="D112" s="34"/>
      <c r="E112" s="36"/>
      <c r="F112" s="37"/>
    </row>
    <row r="113">
      <c r="A113" s="122"/>
      <c r="B113" s="37"/>
      <c r="C113" s="123"/>
      <c r="D113" s="34"/>
      <c r="E113" s="36"/>
      <c r="F113" s="37"/>
    </row>
    <row r="114">
      <c r="A114" s="122"/>
      <c r="B114" s="37"/>
      <c r="C114" s="123"/>
      <c r="D114" s="34"/>
      <c r="E114" s="36"/>
      <c r="F114" s="37"/>
    </row>
    <row r="115">
      <c r="A115" s="122"/>
      <c r="B115" s="37"/>
      <c r="C115" s="123"/>
      <c r="D115" s="34"/>
      <c r="E115" s="36"/>
      <c r="F115" s="37"/>
    </row>
    <row r="116">
      <c r="A116" s="122"/>
      <c r="B116" s="37"/>
      <c r="C116" s="123"/>
      <c r="D116" s="34"/>
      <c r="E116" s="36"/>
      <c r="F116" s="37"/>
    </row>
    <row r="117">
      <c r="A117" s="122"/>
      <c r="B117" s="37"/>
      <c r="C117" s="123"/>
      <c r="D117" s="34"/>
      <c r="E117" s="36"/>
      <c r="F117" s="37"/>
    </row>
    <row r="118">
      <c r="A118" s="122"/>
      <c r="B118" s="37"/>
      <c r="C118" s="123"/>
      <c r="D118" s="34"/>
      <c r="E118" s="36"/>
      <c r="F118" s="37"/>
    </row>
    <row r="119">
      <c r="A119" s="122"/>
      <c r="B119" s="37"/>
      <c r="C119" s="123"/>
      <c r="D119" s="34"/>
      <c r="E119" s="36"/>
      <c r="F119" s="37"/>
    </row>
    <row r="120">
      <c r="A120" s="122"/>
      <c r="B120" s="37"/>
      <c r="C120" s="123"/>
      <c r="D120" s="34"/>
      <c r="E120" s="36"/>
      <c r="F120" s="37"/>
    </row>
    <row r="121">
      <c r="A121" s="122"/>
      <c r="B121" s="37"/>
      <c r="C121" s="123"/>
      <c r="D121" s="34"/>
      <c r="E121" s="36"/>
      <c r="F121" s="37"/>
    </row>
    <row r="122">
      <c r="A122" s="122"/>
      <c r="B122" s="37"/>
      <c r="C122" s="123"/>
      <c r="D122" s="34"/>
      <c r="E122" s="36"/>
      <c r="F122" s="37"/>
    </row>
    <row r="123">
      <c r="A123" s="122"/>
      <c r="B123" s="37"/>
      <c r="C123" s="123"/>
      <c r="D123" s="34"/>
      <c r="E123" s="36"/>
      <c r="F123" s="37"/>
    </row>
    <row r="124">
      <c r="A124" s="122"/>
      <c r="B124" s="37"/>
      <c r="C124" s="123"/>
      <c r="D124" s="34"/>
      <c r="E124" s="36"/>
      <c r="F124" s="37"/>
    </row>
    <row r="125">
      <c r="A125" s="122"/>
      <c r="B125" s="37"/>
      <c r="C125" s="123"/>
      <c r="D125" s="34"/>
      <c r="E125" s="36"/>
      <c r="F125" s="37"/>
    </row>
    <row r="126">
      <c r="A126" s="122"/>
      <c r="B126" s="37"/>
      <c r="C126" s="123"/>
      <c r="D126" s="34"/>
      <c r="E126" s="36"/>
      <c r="F126" s="37"/>
    </row>
    <row r="127">
      <c r="A127" s="122"/>
      <c r="B127" s="37"/>
      <c r="C127" s="123"/>
      <c r="D127" s="34"/>
      <c r="E127" s="36"/>
      <c r="F127" s="37"/>
    </row>
    <row r="128">
      <c r="A128" s="122"/>
      <c r="B128" s="37"/>
      <c r="C128" s="123"/>
      <c r="D128" s="34"/>
      <c r="E128" s="36"/>
      <c r="F128" s="37"/>
    </row>
    <row r="129">
      <c r="A129" s="122"/>
      <c r="B129" s="37"/>
      <c r="C129" s="123"/>
      <c r="D129" s="34"/>
      <c r="E129" s="36"/>
      <c r="F129" s="37"/>
    </row>
    <row r="130">
      <c r="A130" s="122"/>
      <c r="B130" s="37"/>
      <c r="C130" s="123"/>
      <c r="D130" s="34"/>
      <c r="E130" s="36"/>
      <c r="F130" s="37"/>
    </row>
    <row r="131">
      <c r="A131" s="122"/>
      <c r="B131" s="37"/>
      <c r="C131" s="123"/>
      <c r="D131" s="34"/>
      <c r="E131" s="36"/>
      <c r="F131" s="37"/>
    </row>
    <row r="132">
      <c r="A132" s="122"/>
      <c r="B132" s="37"/>
      <c r="C132" s="123"/>
      <c r="D132" s="34"/>
      <c r="E132" s="36"/>
      <c r="F132" s="37"/>
    </row>
    <row r="133">
      <c r="A133" s="122"/>
      <c r="B133" s="37"/>
      <c r="C133" s="123"/>
      <c r="D133" s="34"/>
      <c r="E133" s="36"/>
      <c r="F133" s="37"/>
    </row>
    <row r="134">
      <c r="A134" s="122"/>
      <c r="B134" s="37"/>
      <c r="C134" s="123"/>
      <c r="D134" s="34"/>
      <c r="E134" s="36"/>
      <c r="F134" s="37"/>
    </row>
    <row r="135">
      <c r="A135" s="122"/>
      <c r="B135" s="37"/>
      <c r="C135" s="123"/>
      <c r="D135" s="34"/>
      <c r="E135" s="36"/>
      <c r="F135" s="37"/>
    </row>
    <row r="136">
      <c r="A136" s="122"/>
      <c r="B136" s="37"/>
      <c r="C136" s="123"/>
      <c r="D136" s="34"/>
      <c r="E136" s="36"/>
      <c r="F136" s="37"/>
    </row>
    <row r="137">
      <c r="A137" s="122"/>
      <c r="B137" s="37"/>
      <c r="C137" s="123"/>
      <c r="D137" s="34"/>
      <c r="E137" s="36"/>
      <c r="F137" s="37"/>
    </row>
    <row r="138">
      <c r="A138" s="122"/>
      <c r="B138" s="37"/>
      <c r="C138" s="123"/>
      <c r="D138" s="34"/>
      <c r="E138" s="36"/>
      <c r="F138" s="37"/>
    </row>
    <row r="139">
      <c r="A139" s="122"/>
      <c r="B139" s="37"/>
      <c r="C139" s="123"/>
      <c r="D139" s="34"/>
      <c r="E139" s="36"/>
      <c r="F139" s="37"/>
    </row>
    <row r="140">
      <c r="A140" s="122"/>
      <c r="B140" s="37"/>
      <c r="C140" s="123"/>
      <c r="D140" s="34"/>
      <c r="E140" s="36"/>
      <c r="F140" s="37"/>
    </row>
    <row r="141">
      <c r="A141" s="122"/>
      <c r="B141" s="37"/>
      <c r="C141" s="123"/>
      <c r="D141" s="34"/>
      <c r="E141" s="36"/>
      <c r="F141" s="37"/>
    </row>
    <row r="142">
      <c r="A142" s="122"/>
      <c r="B142" s="37"/>
      <c r="C142" s="123"/>
      <c r="D142" s="34"/>
      <c r="E142" s="36"/>
      <c r="F142" s="37"/>
    </row>
    <row r="143">
      <c r="A143" s="122"/>
      <c r="B143" s="37"/>
      <c r="C143" s="123"/>
      <c r="D143" s="34"/>
      <c r="E143" s="36"/>
      <c r="F143" s="37"/>
    </row>
    <row r="144">
      <c r="A144" s="122"/>
      <c r="B144" s="37"/>
      <c r="C144" s="123"/>
      <c r="D144" s="34"/>
      <c r="E144" s="36"/>
      <c r="F144" s="37"/>
    </row>
    <row r="145">
      <c r="A145" s="122"/>
      <c r="B145" s="37"/>
      <c r="C145" s="123"/>
      <c r="D145" s="34"/>
      <c r="E145" s="36"/>
      <c r="F145" s="37"/>
    </row>
    <row r="146">
      <c r="A146" s="122"/>
      <c r="B146" s="37"/>
      <c r="C146" s="123"/>
      <c r="D146" s="34"/>
      <c r="E146" s="36"/>
      <c r="F146" s="37"/>
    </row>
    <row r="147">
      <c r="A147" s="122"/>
      <c r="B147" s="37"/>
      <c r="C147" s="123"/>
      <c r="D147" s="34"/>
      <c r="E147" s="36"/>
      <c r="F147" s="37"/>
    </row>
    <row r="148">
      <c r="A148" s="122"/>
      <c r="B148" s="37"/>
      <c r="C148" s="123"/>
      <c r="D148" s="34"/>
      <c r="E148" s="36"/>
      <c r="F148" s="37"/>
    </row>
    <row r="149">
      <c r="A149" s="122"/>
      <c r="B149" s="37"/>
      <c r="C149" s="123"/>
      <c r="D149" s="34"/>
      <c r="E149" s="36"/>
      <c r="F149" s="37"/>
    </row>
    <row r="150">
      <c r="A150" s="122"/>
      <c r="B150" s="37"/>
      <c r="C150" s="123"/>
      <c r="D150" s="34"/>
      <c r="E150" s="36"/>
      <c r="F150" s="37"/>
    </row>
    <row r="151">
      <c r="A151" s="122"/>
      <c r="B151" s="37"/>
      <c r="C151" s="123"/>
      <c r="D151" s="34"/>
      <c r="E151" s="36"/>
      <c r="F151" s="37"/>
    </row>
    <row r="152">
      <c r="A152" s="122"/>
      <c r="B152" s="37"/>
      <c r="C152" s="123"/>
      <c r="D152" s="34"/>
      <c r="E152" s="36"/>
      <c r="F152" s="37"/>
    </row>
    <row r="153">
      <c r="A153" s="122"/>
      <c r="B153" s="37"/>
      <c r="C153" s="123"/>
      <c r="D153" s="34"/>
      <c r="E153" s="36"/>
      <c r="F153" s="37"/>
    </row>
    <row r="154">
      <c r="A154" s="122"/>
      <c r="B154" s="37"/>
      <c r="C154" s="123"/>
      <c r="D154" s="34"/>
      <c r="E154" s="36"/>
      <c r="F154" s="37"/>
    </row>
    <row r="155">
      <c r="A155" s="122"/>
      <c r="B155" s="37"/>
      <c r="C155" s="123"/>
      <c r="D155" s="34"/>
      <c r="E155" s="36"/>
      <c r="F155" s="37"/>
    </row>
    <row r="156">
      <c r="A156" s="122"/>
      <c r="B156" s="37"/>
      <c r="C156" s="123"/>
      <c r="D156" s="34"/>
      <c r="E156" s="36"/>
      <c r="F156" s="37"/>
    </row>
    <row r="157">
      <c r="A157" s="122"/>
      <c r="B157" s="37"/>
      <c r="C157" s="123"/>
      <c r="D157" s="34"/>
      <c r="E157" s="36"/>
      <c r="F157" s="37"/>
    </row>
    <row r="158">
      <c r="A158" s="122"/>
      <c r="B158" s="37"/>
      <c r="C158" s="123"/>
      <c r="D158" s="34"/>
      <c r="E158" s="36"/>
      <c r="F158" s="37"/>
    </row>
    <row r="159">
      <c r="A159" s="122"/>
      <c r="B159" s="37"/>
      <c r="C159" s="123"/>
      <c r="D159" s="34"/>
      <c r="E159" s="36"/>
      <c r="F159" s="37"/>
    </row>
    <row r="160">
      <c r="A160" s="122"/>
      <c r="B160" s="37"/>
      <c r="C160" s="123"/>
      <c r="D160" s="34"/>
      <c r="E160" s="36"/>
      <c r="F160" s="37"/>
    </row>
    <row r="161">
      <c r="A161" s="122"/>
      <c r="B161" s="37"/>
      <c r="C161" s="123"/>
      <c r="D161" s="34"/>
      <c r="E161" s="36"/>
      <c r="F161" s="37"/>
    </row>
    <row r="162">
      <c r="A162" s="122"/>
      <c r="B162" s="37"/>
      <c r="C162" s="123"/>
      <c r="D162" s="34"/>
      <c r="E162" s="36"/>
      <c r="F162" s="37"/>
    </row>
    <row r="163">
      <c r="A163" s="122"/>
      <c r="B163" s="37"/>
      <c r="C163" s="123"/>
      <c r="D163" s="34"/>
      <c r="E163" s="36"/>
      <c r="F163" s="37"/>
    </row>
    <row r="164">
      <c r="A164" s="122"/>
      <c r="B164" s="37"/>
      <c r="C164" s="123"/>
      <c r="D164" s="34"/>
      <c r="E164" s="36"/>
      <c r="F164" s="37"/>
    </row>
    <row r="165">
      <c r="A165" s="122"/>
      <c r="B165" s="37"/>
      <c r="C165" s="123"/>
      <c r="D165" s="34"/>
      <c r="E165" s="36"/>
      <c r="F165" s="37"/>
    </row>
    <row r="166">
      <c r="A166" s="122"/>
      <c r="B166" s="37"/>
      <c r="C166" s="123"/>
      <c r="D166" s="34"/>
      <c r="E166" s="36"/>
      <c r="F166" s="37"/>
    </row>
    <row r="167">
      <c r="A167" s="122"/>
      <c r="B167" s="37"/>
      <c r="C167" s="123"/>
      <c r="D167" s="34"/>
      <c r="E167" s="36"/>
      <c r="F167" s="37"/>
    </row>
    <row r="168">
      <c r="A168" s="122"/>
      <c r="B168" s="37"/>
      <c r="C168" s="123"/>
      <c r="D168" s="34"/>
      <c r="E168" s="36"/>
      <c r="F168" s="37"/>
    </row>
    <row r="169">
      <c r="A169" s="122"/>
      <c r="B169" s="37"/>
      <c r="C169" s="123"/>
      <c r="D169" s="34"/>
      <c r="E169" s="36"/>
      <c r="F169" s="37"/>
    </row>
    <row r="170">
      <c r="A170" s="122"/>
      <c r="B170" s="37"/>
      <c r="C170" s="123"/>
      <c r="D170" s="34"/>
      <c r="E170" s="36"/>
      <c r="F170" s="37"/>
    </row>
    <row r="171">
      <c r="A171" s="122"/>
      <c r="B171" s="37"/>
      <c r="C171" s="123"/>
      <c r="D171" s="34"/>
      <c r="E171" s="36"/>
      <c r="F171" s="37"/>
    </row>
    <row r="172">
      <c r="A172" s="122"/>
      <c r="B172" s="37"/>
      <c r="C172" s="123"/>
      <c r="D172" s="34"/>
      <c r="E172" s="36"/>
      <c r="F172" s="37"/>
    </row>
    <row r="173">
      <c r="A173" s="122"/>
      <c r="B173" s="37"/>
      <c r="C173" s="123"/>
      <c r="D173" s="34"/>
      <c r="E173" s="36"/>
      <c r="F173" s="37"/>
    </row>
    <row r="174">
      <c r="A174" s="122"/>
      <c r="B174" s="37"/>
      <c r="C174" s="123"/>
      <c r="D174" s="34"/>
      <c r="E174" s="36"/>
      <c r="F174" s="37"/>
    </row>
    <row r="175">
      <c r="A175" s="122"/>
      <c r="B175" s="37"/>
      <c r="C175" s="123"/>
      <c r="D175" s="34"/>
      <c r="E175" s="36"/>
      <c r="F175" s="37"/>
    </row>
    <row r="176">
      <c r="A176" s="122"/>
      <c r="B176" s="37"/>
      <c r="C176" s="123"/>
      <c r="D176" s="34"/>
      <c r="E176" s="36"/>
      <c r="F176" s="37"/>
    </row>
    <row r="177">
      <c r="A177" s="122"/>
      <c r="B177" s="37"/>
      <c r="C177" s="123"/>
      <c r="D177" s="34"/>
      <c r="E177" s="36"/>
      <c r="F177" s="37"/>
    </row>
    <row r="178">
      <c r="A178" s="122"/>
      <c r="B178" s="37"/>
      <c r="C178" s="123"/>
      <c r="D178" s="34"/>
      <c r="E178" s="36"/>
      <c r="F178" s="37"/>
    </row>
    <row r="179">
      <c r="A179" s="122"/>
      <c r="B179" s="37"/>
      <c r="C179" s="123"/>
      <c r="D179" s="34"/>
      <c r="E179" s="36"/>
      <c r="F179" s="37"/>
    </row>
    <row r="180">
      <c r="A180" s="122"/>
      <c r="B180" s="37"/>
      <c r="C180" s="123"/>
      <c r="D180" s="34"/>
      <c r="E180" s="36"/>
      <c r="F180" s="37"/>
    </row>
    <row r="181">
      <c r="A181" s="122"/>
      <c r="B181" s="37"/>
      <c r="C181" s="123"/>
      <c r="D181" s="34"/>
      <c r="E181" s="36"/>
      <c r="F181" s="37"/>
    </row>
    <row r="182">
      <c r="A182" s="122"/>
      <c r="B182" s="37"/>
      <c r="C182" s="123"/>
      <c r="D182" s="34"/>
      <c r="E182" s="36"/>
      <c r="F182" s="37"/>
    </row>
    <row r="183">
      <c r="A183" s="122"/>
      <c r="B183" s="37"/>
      <c r="C183" s="123"/>
      <c r="D183" s="34"/>
      <c r="E183" s="36"/>
      <c r="F183" s="37"/>
    </row>
    <row r="184">
      <c r="A184" s="122"/>
      <c r="B184" s="37"/>
      <c r="C184" s="123"/>
      <c r="D184" s="34"/>
      <c r="E184" s="36"/>
      <c r="F184" s="37"/>
    </row>
    <row r="185">
      <c r="A185" s="122"/>
      <c r="B185" s="37"/>
      <c r="C185" s="123"/>
      <c r="D185" s="34"/>
      <c r="E185" s="36"/>
      <c r="F185" s="37"/>
    </row>
    <row r="186">
      <c r="A186" s="122"/>
      <c r="B186" s="37"/>
      <c r="C186" s="123"/>
      <c r="D186" s="34"/>
      <c r="E186" s="36"/>
      <c r="F186" s="37"/>
    </row>
    <row r="187">
      <c r="A187" s="122"/>
      <c r="B187" s="37"/>
      <c r="C187" s="123"/>
      <c r="D187" s="34"/>
      <c r="E187" s="36"/>
      <c r="F187" s="37"/>
    </row>
    <row r="188">
      <c r="A188" s="122"/>
      <c r="B188" s="37"/>
      <c r="C188" s="123"/>
      <c r="D188" s="34"/>
      <c r="E188" s="36"/>
      <c r="F188" s="37"/>
    </row>
    <row r="189">
      <c r="A189" s="122"/>
      <c r="B189" s="37"/>
      <c r="C189" s="123"/>
      <c r="D189" s="34"/>
      <c r="E189" s="36"/>
      <c r="F189" s="37"/>
    </row>
    <row r="190">
      <c r="A190" s="122"/>
      <c r="B190" s="37"/>
      <c r="C190" s="123"/>
      <c r="D190" s="34"/>
      <c r="E190" s="36"/>
      <c r="F190" s="37"/>
    </row>
    <row r="191">
      <c r="A191" s="122"/>
      <c r="B191" s="37"/>
      <c r="C191" s="123"/>
      <c r="D191" s="34"/>
      <c r="E191" s="36"/>
      <c r="F191" s="37"/>
    </row>
    <row r="192">
      <c r="A192" s="122"/>
      <c r="B192" s="37"/>
      <c r="C192" s="123"/>
      <c r="D192" s="34"/>
      <c r="E192" s="36"/>
      <c r="F192" s="37"/>
    </row>
    <row r="193">
      <c r="A193" s="122"/>
      <c r="B193" s="37"/>
      <c r="C193" s="123"/>
      <c r="D193" s="34"/>
      <c r="E193" s="36"/>
      <c r="F193" s="37"/>
    </row>
    <row r="194">
      <c r="A194" s="122"/>
      <c r="B194" s="37"/>
      <c r="C194" s="123"/>
      <c r="D194" s="34"/>
      <c r="E194" s="36"/>
      <c r="F194" s="37"/>
    </row>
    <row r="195">
      <c r="A195" s="122"/>
      <c r="B195" s="37"/>
      <c r="C195" s="123"/>
      <c r="D195" s="34"/>
      <c r="E195" s="36"/>
      <c r="F195" s="37"/>
    </row>
    <row r="196">
      <c r="A196" s="122"/>
      <c r="B196" s="37"/>
      <c r="C196" s="123"/>
      <c r="D196" s="34"/>
      <c r="E196" s="36"/>
      <c r="F196" s="37"/>
    </row>
    <row r="197">
      <c r="A197" s="122"/>
      <c r="B197" s="37"/>
      <c r="C197" s="123"/>
      <c r="D197" s="34"/>
      <c r="E197" s="36"/>
      <c r="F197" s="37"/>
    </row>
    <row r="198">
      <c r="A198" s="122"/>
      <c r="B198" s="37"/>
      <c r="C198" s="123"/>
      <c r="D198" s="34"/>
      <c r="E198" s="36"/>
      <c r="F198" s="37"/>
    </row>
    <row r="199">
      <c r="A199" s="122"/>
      <c r="B199" s="37"/>
      <c r="C199" s="123"/>
      <c r="D199" s="34"/>
      <c r="E199" s="36"/>
      <c r="F199" s="37"/>
    </row>
    <row r="200">
      <c r="A200" s="122"/>
      <c r="B200" s="37"/>
      <c r="C200" s="123"/>
      <c r="D200" s="34"/>
      <c r="E200" s="36"/>
      <c r="F200" s="37"/>
    </row>
    <row r="201">
      <c r="A201" s="122"/>
      <c r="B201" s="37"/>
      <c r="C201" s="123"/>
      <c r="D201" s="34"/>
      <c r="E201" s="36"/>
      <c r="F201" s="37"/>
    </row>
    <row r="202">
      <c r="A202" s="122"/>
      <c r="B202" s="37"/>
      <c r="C202" s="123"/>
      <c r="D202" s="34"/>
      <c r="E202" s="36"/>
      <c r="F202" s="37"/>
    </row>
    <row r="203">
      <c r="A203" s="122"/>
      <c r="B203" s="37"/>
      <c r="C203" s="123"/>
      <c r="D203" s="34"/>
      <c r="E203" s="36"/>
      <c r="F203" s="37"/>
    </row>
    <row r="204">
      <c r="A204" s="122"/>
      <c r="B204" s="37"/>
      <c r="C204" s="123"/>
      <c r="D204" s="34"/>
      <c r="E204" s="36"/>
      <c r="F204" s="37"/>
    </row>
    <row r="205">
      <c r="A205" s="122"/>
      <c r="B205" s="37"/>
      <c r="C205" s="123"/>
      <c r="D205" s="34"/>
      <c r="E205" s="36"/>
      <c r="F205" s="37"/>
    </row>
    <row r="206">
      <c r="A206" s="122"/>
      <c r="B206" s="37"/>
      <c r="C206" s="123"/>
      <c r="D206" s="34"/>
      <c r="E206" s="36"/>
      <c r="F206" s="37"/>
    </row>
    <row r="207">
      <c r="A207" s="122"/>
      <c r="B207" s="37"/>
      <c r="C207" s="123"/>
      <c r="D207" s="34"/>
      <c r="E207" s="36"/>
      <c r="F207" s="37"/>
    </row>
    <row r="208">
      <c r="A208" s="122"/>
      <c r="B208" s="37"/>
      <c r="C208" s="123"/>
      <c r="D208" s="34"/>
      <c r="E208" s="36"/>
      <c r="F208" s="37"/>
    </row>
    <row r="209">
      <c r="A209" s="122"/>
      <c r="B209" s="37"/>
      <c r="C209" s="123"/>
      <c r="D209" s="34"/>
      <c r="E209" s="36"/>
      <c r="F209" s="37"/>
    </row>
    <row r="210">
      <c r="A210" s="122"/>
      <c r="B210" s="37"/>
      <c r="C210" s="123"/>
      <c r="D210" s="34"/>
      <c r="E210" s="36"/>
      <c r="F210" s="37"/>
    </row>
    <row r="211">
      <c r="A211" s="122"/>
      <c r="B211" s="37"/>
      <c r="C211" s="123"/>
      <c r="D211" s="34"/>
      <c r="E211" s="36"/>
      <c r="F211" s="37"/>
    </row>
    <row r="212">
      <c r="A212" s="122"/>
      <c r="B212" s="37"/>
      <c r="C212" s="123"/>
      <c r="D212" s="34"/>
      <c r="E212" s="36"/>
      <c r="F212" s="37"/>
    </row>
    <row r="213">
      <c r="A213" s="122"/>
      <c r="B213" s="37"/>
      <c r="C213" s="123"/>
      <c r="D213" s="34"/>
      <c r="E213" s="36"/>
      <c r="F213" s="37"/>
    </row>
    <row r="214">
      <c r="A214" s="122"/>
      <c r="B214" s="37"/>
      <c r="C214" s="123"/>
      <c r="D214" s="34"/>
      <c r="E214" s="36"/>
      <c r="F214" s="37"/>
    </row>
    <row r="215">
      <c r="A215" s="122"/>
      <c r="B215" s="37"/>
      <c r="C215" s="123"/>
      <c r="D215" s="34"/>
      <c r="E215" s="36"/>
      <c r="F215" s="37"/>
    </row>
    <row r="216">
      <c r="A216" s="122"/>
      <c r="B216" s="37"/>
      <c r="C216" s="123"/>
      <c r="D216" s="34"/>
      <c r="E216" s="36"/>
      <c r="F216" s="37"/>
    </row>
    <row r="217">
      <c r="A217" s="122"/>
      <c r="B217" s="37"/>
      <c r="C217" s="123"/>
      <c r="D217" s="34"/>
      <c r="E217" s="36"/>
      <c r="F217" s="37"/>
    </row>
    <row r="218">
      <c r="A218" s="122"/>
      <c r="B218" s="37"/>
      <c r="C218" s="123"/>
      <c r="D218" s="34"/>
      <c r="E218" s="36"/>
      <c r="F218" s="37"/>
    </row>
    <row r="219">
      <c r="A219" s="122"/>
      <c r="B219" s="37"/>
      <c r="C219" s="123"/>
      <c r="D219" s="34"/>
      <c r="E219" s="36"/>
      <c r="F219" s="37"/>
    </row>
    <row r="220">
      <c r="A220" s="122"/>
      <c r="B220" s="37"/>
      <c r="C220" s="123"/>
      <c r="D220" s="34"/>
      <c r="E220" s="36"/>
      <c r="F220" s="37"/>
    </row>
    <row r="221">
      <c r="A221" s="122"/>
      <c r="B221" s="37"/>
      <c r="C221" s="123"/>
      <c r="D221" s="34"/>
      <c r="E221" s="36"/>
      <c r="F221" s="37"/>
    </row>
    <row r="222">
      <c r="A222" s="122"/>
      <c r="B222" s="37"/>
      <c r="C222" s="123"/>
      <c r="D222" s="34"/>
      <c r="E222" s="36"/>
      <c r="F222" s="37"/>
    </row>
    <row r="223">
      <c r="A223" s="122"/>
      <c r="B223" s="37"/>
      <c r="C223" s="123"/>
      <c r="D223" s="34"/>
      <c r="E223" s="36"/>
      <c r="F223" s="37"/>
    </row>
    <row r="224">
      <c r="A224" s="122"/>
      <c r="B224" s="37"/>
      <c r="C224" s="123"/>
      <c r="D224" s="34"/>
      <c r="E224" s="36"/>
      <c r="F224" s="37"/>
    </row>
    <row r="225">
      <c r="A225" s="122"/>
      <c r="B225" s="37"/>
      <c r="C225" s="123"/>
      <c r="D225" s="34"/>
      <c r="E225" s="36"/>
      <c r="F225" s="37"/>
    </row>
    <row r="226">
      <c r="A226" s="122"/>
      <c r="B226" s="37"/>
      <c r="C226" s="123"/>
      <c r="D226" s="34"/>
      <c r="E226" s="36"/>
      <c r="F226" s="37"/>
    </row>
    <row r="227">
      <c r="A227" s="122"/>
      <c r="B227" s="37"/>
      <c r="C227" s="123"/>
      <c r="D227" s="34"/>
      <c r="E227" s="36"/>
      <c r="F227" s="37"/>
    </row>
    <row r="228">
      <c r="A228" s="122"/>
      <c r="B228" s="37"/>
      <c r="C228" s="123"/>
      <c r="D228" s="34"/>
      <c r="E228" s="36"/>
      <c r="F228" s="37"/>
    </row>
    <row r="229">
      <c r="A229" s="122"/>
      <c r="B229" s="37"/>
      <c r="C229" s="123"/>
      <c r="D229" s="34"/>
      <c r="E229" s="36"/>
      <c r="F229" s="37"/>
    </row>
    <row r="230">
      <c r="A230" s="122"/>
      <c r="B230" s="37"/>
      <c r="C230" s="123"/>
      <c r="D230" s="34"/>
      <c r="E230" s="36"/>
      <c r="F230" s="37"/>
    </row>
    <row r="231">
      <c r="A231" s="122"/>
      <c r="B231" s="37"/>
      <c r="C231" s="123"/>
      <c r="D231" s="34"/>
      <c r="E231" s="36"/>
      <c r="F231" s="37"/>
    </row>
    <row r="232">
      <c r="A232" s="122"/>
      <c r="B232" s="37"/>
      <c r="C232" s="123"/>
      <c r="D232" s="34"/>
      <c r="E232" s="36"/>
      <c r="F232" s="37"/>
    </row>
    <row r="233">
      <c r="A233" s="122"/>
      <c r="B233" s="37"/>
      <c r="C233" s="123"/>
      <c r="D233" s="34"/>
      <c r="E233" s="36"/>
      <c r="F233" s="37"/>
    </row>
    <row r="234">
      <c r="A234" s="122"/>
      <c r="B234" s="37"/>
      <c r="C234" s="123"/>
      <c r="D234" s="34"/>
      <c r="E234" s="36"/>
      <c r="F234" s="37"/>
    </row>
    <row r="235">
      <c r="A235" s="122"/>
      <c r="B235" s="37"/>
      <c r="C235" s="123"/>
      <c r="D235" s="34"/>
      <c r="E235" s="36"/>
      <c r="F235" s="37"/>
    </row>
    <row r="236">
      <c r="A236" s="122"/>
      <c r="B236" s="37"/>
      <c r="C236" s="123"/>
      <c r="D236" s="34"/>
      <c r="E236" s="36"/>
      <c r="F236" s="37"/>
    </row>
    <row r="237">
      <c r="A237" s="122"/>
      <c r="B237" s="37"/>
      <c r="C237" s="123"/>
      <c r="D237" s="34"/>
      <c r="E237" s="36"/>
      <c r="F237" s="37"/>
    </row>
    <row r="238">
      <c r="A238" s="122"/>
      <c r="B238" s="37"/>
      <c r="C238" s="123"/>
      <c r="D238" s="34"/>
      <c r="E238" s="36"/>
      <c r="F238" s="37"/>
    </row>
    <row r="239">
      <c r="A239" s="122"/>
      <c r="B239" s="37"/>
      <c r="C239" s="123"/>
      <c r="D239" s="34"/>
      <c r="E239" s="36"/>
      <c r="F239" s="37"/>
    </row>
    <row r="240">
      <c r="A240" s="122"/>
      <c r="B240" s="37"/>
      <c r="C240" s="123"/>
      <c r="D240" s="34"/>
      <c r="E240" s="36"/>
      <c r="F240" s="37"/>
    </row>
    <row r="241">
      <c r="A241" s="122"/>
      <c r="B241" s="37"/>
      <c r="C241" s="123"/>
      <c r="D241" s="34"/>
      <c r="E241" s="36"/>
      <c r="F241" s="37"/>
    </row>
    <row r="242">
      <c r="A242" s="122"/>
      <c r="B242" s="37"/>
      <c r="C242" s="123"/>
      <c r="D242" s="34"/>
      <c r="E242" s="36"/>
      <c r="F242" s="37"/>
    </row>
    <row r="243">
      <c r="A243" s="122"/>
      <c r="B243" s="37"/>
      <c r="C243" s="123"/>
      <c r="D243" s="34"/>
      <c r="E243" s="36"/>
      <c r="F243" s="37"/>
    </row>
    <row r="244">
      <c r="A244" s="122"/>
      <c r="B244" s="37"/>
      <c r="C244" s="123"/>
      <c r="D244" s="34"/>
      <c r="E244" s="36"/>
      <c r="F244" s="37"/>
    </row>
    <row r="245">
      <c r="A245" s="122"/>
      <c r="B245" s="37"/>
      <c r="C245" s="123"/>
      <c r="D245" s="34"/>
      <c r="E245" s="36"/>
      <c r="F245" s="37"/>
    </row>
    <row r="246">
      <c r="A246" s="122"/>
      <c r="B246" s="37"/>
      <c r="C246" s="123"/>
      <c r="D246" s="34"/>
      <c r="E246" s="36"/>
      <c r="F246" s="37"/>
    </row>
    <row r="247">
      <c r="A247" s="122"/>
      <c r="B247" s="37"/>
      <c r="C247" s="123"/>
      <c r="D247" s="34"/>
      <c r="E247" s="36"/>
      <c r="F247" s="37"/>
    </row>
    <row r="248">
      <c r="A248" s="122"/>
      <c r="B248" s="37"/>
      <c r="C248" s="123"/>
      <c r="D248" s="34"/>
      <c r="E248" s="36"/>
      <c r="F248" s="37"/>
    </row>
    <row r="249">
      <c r="A249" s="122"/>
      <c r="B249" s="37"/>
      <c r="C249" s="123"/>
      <c r="D249" s="34"/>
      <c r="E249" s="36"/>
      <c r="F249" s="37"/>
    </row>
    <row r="250">
      <c r="A250" s="122"/>
      <c r="B250" s="37"/>
      <c r="C250" s="123"/>
      <c r="D250" s="34"/>
      <c r="E250" s="36"/>
      <c r="F250" s="37"/>
    </row>
    <row r="251">
      <c r="A251" s="122"/>
      <c r="B251" s="37"/>
      <c r="C251" s="123"/>
      <c r="D251" s="34"/>
      <c r="E251" s="36"/>
      <c r="F251" s="37"/>
    </row>
    <row r="252">
      <c r="A252" s="122"/>
      <c r="B252" s="37"/>
      <c r="C252" s="123"/>
      <c r="D252" s="34"/>
      <c r="E252" s="36"/>
      <c r="F252" s="37"/>
    </row>
    <row r="253">
      <c r="A253" s="122"/>
      <c r="B253" s="37"/>
      <c r="C253" s="123"/>
      <c r="D253" s="34"/>
      <c r="E253" s="36"/>
      <c r="F253" s="37"/>
    </row>
    <row r="254">
      <c r="A254" s="122"/>
      <c r="B254" s="37"/>
      <c r="C254" s="123"/>
      <c r="D254" s="34"/>
      <c r="E254" s="36"/>
      <c r="F254" s="37"/>
    </row>
    <row r="255">
      <c r="A255" s="122"/>
      <c r="B255" s="37"/>
      <c r="C255" s="123"/>
      <c r="D255" s="34"/>
      <c r="E255" s="36"/>
      <c r="F255" s="37"/>
    </row>
    <row r="256">
      <c r="A256" s="122"/>
      <c r="B256" s="37"/>
      <c r="C256" s="123"/>
      <c r="D256" s="34"/>
      <c r="E256" s="36"/>
      <c r="F256" s="37"/>
    </row>
    <row r="257">
      <c r="A257" s="122"/>
      <c r="B257" s="37"/>
      <c r="C257" s="123"/>
      <c r="D257" s="34"/>
      <c r="E257" s="36"/>
      <c r="F257" s="37"/>
    </row>
    <row r="258">
      <c r="A258" s="122"/>
      <c r="B258" s="37"/>
      <c r="C258" s="123"/>
      <c r="D258" s="34"/>
      <c r="E258" s="36"/>
      <c r="F258" s="37"/>
    </row>
    <row r="259">
      <c r="A259" s="122"/>
      <c r="B259" s="37"/>
      <c r="C259" s="123"/>
      <c r="D259" s="34"/>
      <c r="E259" s="36"/>
      <c r="F259" s="37"/>
    </row>
    <row r="260">
      <c r="A260" s="122"/>
      <c r="B260" s="37"/>
      <c r="C260" s="123"/>
      <c r="D260" s="34"/>
      <c r="E260" s="36"/>
      <c r="F260" s="37"/>
    </row>
    <row r="261">
      <c r="A261" s="122"/>
      <c r="B261" s="37"/>
      <c r="C261" s="123"/>
      <c r="D261" s="34"/>
      <c r="E261" s="36"/>
      <c r="F261" s="37"/>
    </row>
    <row r="262">
      <c r="A262" s="122"/>
      <c r="B262" s="37"/>
      <c r="C262" s="123"/>
      <c r="D262" s="34"/>
      <c r="E262" s="36"/>
      <c r="F262" s="37"/>
    </row>
    <row r="263">
      <c r="A263" s="122"/>
      <c r="B263" s="37"/>
      <c r="C263" s="123"/>
      <c r="D263" s="34"/>
      <c r="E263" s="36"/>
      <c r="F263" s="37"/>
    </row>
    <row r="264">
      <c r="A264" s="122"/>
      <c r="B264" s="37"/>
      <c r="C264" s="123"/>
      <c r="D264" s="34"/>
      <c r="E264" s="36"/>
      <c r="F264" s="37"/>
    </row>
    <row r="265">
      <c r="A265" s="122"/>
      <c r="B265" s="37"/>
      <c r="C265" s="123"/>
      <c r="D265" s="34"/>
      <c r="E265" s="36"/>
      <c r="F265" s="37"/>
    </row>
    <row r="266">
      <c r="A266" s="122"/>
      <c r="B266" s="37"/>
      <c r="C266" s="123"/>
      <c r="D266" s="34"/>
      <c r="E266" s="36"/>
      <c r="F266" s="37"/>
    </row>
    <row r="267">
      <c r="A267" s="122"/>
      <c r="B267" s="37"/>
      <c r="C267" s="123"/>
      <c r="D267" s="34"/>
      <c r="E267" s="36"/>
      <c r="F267" s="37"/>
    </row>
    <row r="268">
      <c r="A268" s="122"/>
      <c r="B268" s="37"/>
      <c r="C268" s="123"/>
      <c r="D268" s="34"/>
      <c r="E268" s="36"/>
      <c r="F268" s="37"/>
    </row>
    <row r="269">
      <c r="A269" s="122"/>
      <c r="B269" s="37"/>
      <c r="C269" s="123"/>
      <c r="D269" s="34"/>
      <c r="E269" s="36"/>
      <c r="F269" s="37"/>
    </row>
    <row r="270">
      <c r="A270" s="122"/>
      <c r="B270" s="37"/>
      <c r="C270" s="123"/>
      <c r="D270" s="34"/>
      <c r="E270" s="36"/>
      <c r="F270" s="37"/>
    </row>
    <row r="271">
      <c r="A271" s="122"/>
      <c r="B271" s="37"/>
      <c r="C271" s="123"/>
      <c r="D271" s="34"/>
      <c r="E271" s="36"/>
      <c r="F271" s="37"/>
    </row>
    <row r="272">
      <c r="A272" s="122"/>
      <c r="B272" s="37"/>
      <c r="C272" s="123"/>
      <c r="D272" s="34"/>
      <c r="E272" s="36"/>
      <c r="F272" s="37"/>
    </row>
    <row r="273">
      <c r="A273" s="122"/>
      <c r="B273" s="37"/>
      <c r="C273" s="123"/>
      <c r="D273" s="34"/>
      <c r="E273" s="36"/>
      <c r="F273" s="37"/>
    </row>
    <row r="274">
      <c r="A274" s="122"/>
      <c r="B274" s="37"/>
      <c r="C274" s="123"/>
      <c r="D274" s="34"/>
      <c r="E274" s="36"/>
      <c r="F274" s="37"/>
    </row>
    <row r="275">
      <c r="A275" s="122"/>
      <c r="B275" s="37"/>
      <c r="C275" s="123"/>
      <c r="D275" s="34"/>
      <c r="E275" s="36"/>
      <c r="F275" s="37"/>
    </row>
    <row r="276">
      <c r="A276" s="122"/>
      <c r="B276" s="37"/>
      <c r="C276" s="123"/>
      <c r="D276" s="34"/>
      <c r="E276" s="36"/>
      <c r="F276" s="37"/>
    </row>
    <row r="277">
      <c r="A277" s="122"/>
      <c r="B277" s="37"/>
      <c r="C277" s="123"/>
      <c r="D277" s="34"/>
      <c r="E277" s="36"/>
      <c r="F277" s="37"/>
    </row>
    <row r="278">
      <c r="A278" s="122"/>
      <c r="B278" s="37"/>
      <c r="C278" s="123"/>
      <c r="D278" s="34"/>
      <c r="E278" s="36"/>
      <c r="F278" s="37"/>
    </row>
    <row r="279">
      <c r="A279" s="122"/>
      <c r="B279" s="37"/>
      <c r="C279" s="123"/>
      <c r="D279" s="34"/>
      <c r="E279" s="36"/>
      <c r="F279" s="37"/>
    </row>
    <row r="280">
      <c r="A280" s="122"/>
      <c r="B280" s="37"/>
      <c r="C280" s="123"/>
      <c r="D280" s="34"/>
      <c r="E280" s="36"/>
      <c r="F280" s="37"/>
    </row>
    <row r="281">
      <c r="A281" s="122"/>
      <c r="B281" s="37"/>
      <c r="C281" s="123"/>
      <c r="D281" s="34"/>
      <c r="E281" s="36"/>
      <c r="F281" s="37"/>
    </row>
    <row r="282">
      <c r="A282" s="122"/>
      <c r="B282" s="37"/>
      <c r="C282" s="123"/>
      <c r="D282" s="34"/>
      <c r="E282" s="36"/>
      <c r="F282" s="37"/>
    </row>
    <row r="283">
      <c r="A283" s="122"/>
      <c r="B283" s="37"/>
      <c r="C283" s="123"/>
      <c r="D283" s="34"/>
      <c r="E283" s="36"/>
      <c r="F283" s="37"/>
    </row>
    <row r="284">
      <c r="A284" s="122"/>
      <c r="B284" s="37"/>
      <c r="C284" s="123"/>
      <c r="D284" s="34"/>
      <c r="E284" s="36"/>
      <c r="F284" s="37"/>
    </row>
    <row r="285">
      <c r="A285" s="122"/>
      <c r="B285" s="37"/>
      <c r="C285" s="123"/>
      <c r="D285" s="34"/>
      <c r="E285" s="36"/>
      <c r="F285" s="37"/>
    </row>
    <row r="286">
      <c r="A286" s="122"/>
      <c r="B286" s="37"/>
      <c r="C286" s="123"/>
      <c r="D286" s="34"/>
      <c r="E286" s="36"/>
      <c r="F286" s="37"/>
    </row>
    <row r="287">
      <c r="A287" s="122"/>
      <c r="B287" s="37"/>
      <c r="C287" s="123"/>
      <c r="D287" s="34"/>
      <c r="E287" s="36"/>
      <c r="F287" s="37"/>
    </row>
    <row r="288">
      <c r="A288" s="122"/>
      <c r="B288" s="37"/>
      <c r="C288" s="123"/>
      <c r="D288" s="34"/>
      <c r="E288" s="36"/>
      <c r="F288" s="37"/>
    </row>
    <row r="289">
      <c r="A289" s="122"/>
      <c r="B289" s="37"/>
      <c r="C289" s="123"/>
      <c r="D289" s="34"/>
      <c r="E289" s="36"/>
      <c r="F289" s="37"/>
    </row>
    <row r="290">
      <c r="A290" s="122"/>
      <c r="B290" s="37"/>
      <c r="C290" s="123"/>
      <c r="D290" s="34"/>
      <c r="E290" s="36"/>
      <c r="F290" s="37"/>
    </row>
    <row r="291">
      <c r="A291" s="122"/>
      <c r="B291" s="37"/>
      <c r="C291" s="123"/>
      <c r="D291" s="34"/>
      <c r="E291" s="36"/>
      <c r="F291" s="37"/>
    </row>
    <row r="292">
      <c r="A292" s="122"/>
      <c r="B292" s="37"/>
      <c r="C292" s="123"/>
      <c r="D292" s="34"/>
      <c r="E292" s="36"/>
      <c r="F292" s="37"/>
    </row>
    <row r="293">
      <c r="A293" s="122"/>
      <c r="B293" s="37"/>
      <c r="C293" s="123"/>
      <c r="D293" s="34"/>
      <c r="E293" s="36"/>
      <c r="F293" s="37"/>
    </row>
    <row r="294">
      <c r="A294" s="122"/>
      <c r="B294" s="37"/>
      <c r="C294" s="123"/>
      <c r="D294" s="34"/>
      <c r="E294" s="36"/>
      <c r="F294" s="37"/>
    </row>
    <row r="295">
      <c r="A295" s="122"/>
      <c r="B295" s="37"/>
      <c r="C295" s="123"/>
      <c r="D295" s="34"/>
      <c r="E295" s="36"/>
      <c r="F295" s="37"/>
    </row>
    <row r="296">
      <c r="A296" s="122"/>
      <c r="B296" s="37"/>
      <c r="C296" s="123"/>
      <c r="D296" s="34"/>
      <c r="E296" s="36"/>
      <c r="F296" s="37"/>
    </row>
    <row r="297">
      <c r="A297" s="122"/>
      <c r="B297" s="37"/>
      <c r="C297" s="123"/>
      <c r="D297" s="34"/>
      <c r="E297" s="36"/>
      <c r="F297" s="37"/>
    </row>
    <row r="298">
      <c r="A298" s="122"/>
      <c r="B298" s="37"/>
      <c r="C298" s="123"/>
      <c r="D298" s="34"/>
      <c r="E298" s="36"/>
      <c r="F298" s="37"/>
    </row>
    <row r="299">
      <c r="A299" s="122"/>
      <c r="B299" s="37"/>
      <c r="C299" s="123"/>
      <c r="D299" s="34"/>
      <c r="E299" s="36"/>
      <c r="F299" s="37"/>
    </row>
    <row r="300">
      <c r="A300" s="122"/>
      <c r="B300" s="37"/>
      <c r="C300" s="123"/>
      <c r="D300" s="34"/>
      <c r="E300" s="36"/>
      <c r="F300" s="37"/>
    </row>
    <row r="301">
      <c r="A301" s="122"/>
      <c r="B301" s="37"/>
      <c r="C301" s="123"/>
      <c r="D301" s="34"/>
      <c r="E301" s="36"/>
      <c r="F301" s="37"/>
    </row>
    <row r="302">
      <c r="A302" s="122"/>
      <c r="B302" s="37"/>
      <c r="C302" s="123"/>
      <c r="D302" s="34"/>
      <c r="E302" s="36"/>
      <c r="F302" s="37"/>
    </row>
    <row r="303">
      <c r="A303" s="122"/>
      <c r="B303" s="37"/>
      <c r="C303" s="123"/>
      <c r="D303" s="34"/>
      <c r="E303" s="36"/>
      <c r="F303" s="37"/>
    </row>
    <row r="304">
      <c r="A304" s="122"/>
      <c r="C304" s="29"/>
      <c r="D304" s="124"/>
      <c r="E304" s="125"/>
    </row>
    <row r="305">
      <c r="A305" s="122"/>
      <c r="C305" s="29"/>
      <c r="D305" s="124"/>
      <c r="E305" s="125"/>
    </row>
    <row r="306">
      <c r="A306" s="122"/>
      <c r="C306" s="29"/>
      <c r="D306" s="124"/>
      <c r="E306" s="125"/>
    </row>
    <row r="307">
      <c r="A307" s="122"/>
      <c r="C307" s="29"/>
      <c r="D307" s="124"/>
      <c r="E307" s="125"/>
    </row>
    <row r="308">
      <c r="A308" s="122"/>
      <c r="C308" s="29"/>
      <c r="D308" s="124"/>
      <c r="E308" s="125"/>
    </row>
    <row r="309">
      <c r="A309" s="122"/>
      <c r="C309" s="29"/>
      <c r="D309" s="124"/>
      <c r="E309" s="125"/>
    </row>
    <row r="310">
      <c r="A310" s="122"/>
      <c r="C310" s="29"/>
      <c r="D310" s="124"/>
      <c r="E310" s="125"/>
    </row>
    <row r="311">
      <c r="A311" s="122"/>
      <c r="C311" s="29"/>
      <c r="D311" s="124"/>
      <c r="E311" s="125"/>
    </row>
    <row r="312">
      <c r="A312" s="122"/>
      <c r="C312" s="29"/>
      <c r="D312" s="124"/>
      <c r="E312" s="125"/>
    </row>
    <row r="313">
      <c r="A313" s="122"/>
      <c r="C313" s="29"/>
      <c r="D313" s="124"/>
      <c r="E313" s="125"/>
    </row>
    <row r="314">
      <c r="A314" s="122"/>
      <c r="C314" s="29"/>
      <c r="D314" s="124"/>
      <c r="E314" s="125"/>
    </row>
    <row r="315">
      <c r="A315" s="122"/>
      <c r="C315" s="29"/>
      <c r="D315" s="124"/>
      <c r="E315" s="125"/>
    </row>
    <row r="316">
      <c r="A316" s="122"/>
      <c r="C316" s="29"/>
      <c r="D316" s="124"/>
      <c r="E316" s="125"/>
    </row>
    <row r="317">
      <c r="A317" s="122"/>
      <c r="C317" s="29"/>
      <c r="D317" s="124"/>
      <c r="E317" s="125"/>
    </row>
    <row r="318">
      <c r="A318" s="122"/>
      <c r="C318" s="29"/>
      <c r="D318" s="124"/>
      <c r="E318" s="125"/>
    </row>
    <row r="319">
      <c r="A319" s="122"/>
      <c r="C319" s="29"/>
      <c r="D319" s="124"/>
      <c r="E319" s="125"/>
    </row>
    <row r="320">
      <c r="A320" s="122"/>
      <c r="C320" s="29"/>
      <c r="D320" s="124"/>
      <c r="E320" s="125"/>
    </row>
    <row r="321">
      <c r="A321" s="122"/>
      <c r="C321" s="29"/>
      <c r="D321" s="124"/>
      <c r="E321" s="125"/>
    </row>
    <row r="322">
      <c r="A322" s="122"/>
      <c r="C322" s="29"/>
      <c r="D322" s="124"/>
      <c r="E322" s="125"/>
    </row>
    <row r="323">
      <c r="A323" s="122"/>
      <c r="C323" s="29"/>
      <c r="D323" s="124"/>
      <c r="E323" s="125"/>
    </row>
    <row r="324">
      <c r="A324" s="122"/>
      <c r="C324" s="29"/>
      <c r="D324" s="124"/>
      <c r="E324" s="125"/>
    </row>
    <row r="325">
      <c r="A325" s="122"/>
      <c r="C325" s="29"/>
      <c r="D325" s="124"/>
      <c r="E325" s="125"/>
    </row>
    <row r="326">
      <c r="A326" s="122"/>
      <c r="C326" s="29"/>
      <c r="D326" s="124"/>
      <c r="E326" s="125"/>
    </row>
    <row r="327">
      <c r="A327" s="122"/>
      <c r="C327" s="29"/>
      <c r="D327" s="124"/>
      <c r="E327" s="125"/>
    </row>
    <row r="328">
      <c r="A328" s="122"/>
      <c r="C328" s="29"/>
      <c r="D328" s="124"/>
      <c r="E328" s="125"/>
    </row>
    <row r="329">
      <c r="A329" s="122"/>
      <c r="C329" s="29"/>
      <c r="D329" s="124"/>
      <c r="E329" s="125"/>
    </row>
    <row r="330">
      <c r="A330" s="122"/>
      <c r="C330" s="29"/>
      <c r="D330" s="124"/>
      <c r="E330" s="125"/>
    </row>
    <row r="331">
      <c r="A331" s="122"/>
      <c r="C331" s="29"/>
      <c r="D331" s="124"/>
      <c r="E331" s="125"/>
    </row>
    <row r="332">
      <c r="A332" s="122"/>
      <c r="C332" s="29"/>
      <c r="D332" s="124"/>
      <c r="E332" s="125"/>
    </row>
    <row r="333">
      <c r="A333" s="122"/>
      <c r="C333" s="29"/>
      <c r="D333" s="124"/>
      <c r="E333" s="125"/>
    </row>
    <row r="334">
      <c r="A334" s="122"/>
      <c r="C334" s="29"/>
      <c r="D334" s="124"/>
      <c r="E334" s="125"/>
    </row>
    <row r="335">
      <c r="A335" s="122"/>
      <c r="C335" s="29"/>
      <c r="D335" s="124"/>
      <c r="E335" s="125"/>
    </row>
    <row r="336">
      <c r="A336" s="122"/>
      <c r="C336" s="29"/>
      <c r="D336" s="124"/>
      <c r="E336" s="125"/>
    </row>
    <row r="337">
      <c r="A337" s="122"/>
      <c r="C337" s="29"/>
      <c r="D337" s="124"/>
      <c r="E337" s="125"/>
    </row>
    <row r="338">
      <c r="A338" s="122"/>
      <c r="C338" s="29"/>
      <c r="D338" s="124"/>
      <c r="E338" s="125"/>
    </row>
    <row r="339">
      <c r="A339" s="122"/>
      <c r="C339" s="29"/>
      <c r="D339" s="124"/>
      <c r="E339" s="125"/>
    </row>
    <row r="340">
      <c r="A340" s="122"/>
      <c r="C340" s="29"/>
      <c r="D340" s="124"/>
      <c r="E340" s="125"/>
    </row>
    <row r="341">
      <c r="A341" s="122"/>
      <c r="C341" s="29"/>
      <c r="D341" s="124"/>
      <c r="E341" s="125"/>
    </row>
    <row r="342">
      <c r="A342" s="122"/>
      <c r="C342" s="29"/>
      <c r="D342" s="124"/>
      <c r="E342" s="125"/>
    </row>
    <row r="343">
      <c r="A343" s="122"/>
      <c r="C343" s="29"/>
      <c r="D343" s="124"/>
      <c r="E343" s="125"/>
    </row>
    <row r="344">
      <c r="A344" s="122"/>
      <c r="C344" s="29"/>
      <c r="D344" s="124"/>
      <c r="E344" s="125"/>
    </row>
    <row r="345">
      <c r="A345" s="122"/>
      <c r="C345" s="29"/>
      <c r="D345" s="124"/>
      <c r="E345" s="125"/>
    </row>
    <row r="346">
      <c r="A346" s="122"/>
      <c r="C346" s="29"/>
      <c r="D346" s="124"/>
      <c r="E346" s="125"/>
    </row>
    <row r="347">
      <c r="A347" s="122"/>
      <c r="C347" s="29"/>
      <c r="D347" s="124"/>
      <c r="E347" s="125"/>
    </row>
    <row r="348">
      <c r="A348" s="122"/>
      <c r="C348" s="29"/>
      <c r="D348" s="124"/>
      <c r="E348" s="125"/>
    </row>
    <row r="349">
      <c r="A349" s="122"/>
      <c r="C349" s="29"/>
      <c r="D349" s="124"/>
      <c r="E349" s="125"/>
    </row>
    <row r="350">
      <c r="A350" s="122"/>
      <c r="C350" s="29"/>
      <c r="D350" s="124"/>
      <c r="E350" s="125"/>
    </row>
    <row r="351">
      <c r="A351" s="122"/>
      <c r="C351" s="29"/>
      <c r="D351" s="124"/>
      <c r="E351" s="125"/>
    </row>
    <row r="352">
      <c r="A352" s="122"/>
      <c r="C352" s="29"/>
      <c r="D352" s="124"/>
      <c r="E352" s="125"/>
    </row>
    <row r="353">
      <c r="A353" s="122"/>
      <c r="C353" s="29"/>
      <c r="D353" s="124"/>
      <c r="E353" s="125"/>
    </row>
    <row r="354">
      <c r="A354" s="122"/>
      <c r="C354" s="29"/>
      <c r="D354" s="124"/>
      <c r="E354" s="125"/>
    </row>
    <row r="355">
      <c r="A355" s="122"/>
      <c r="C355" s="29"/>
      <c r="D355" s="124"/>
      <c r="E355" s="125"/>
    </row>
    <row r="356">
      <c r="A356" s="122"/>
      <c r="C356" s="29"/>
      <c r="D356" s="124"/>
      <c r="E356" s="125"/>
    </row>
    <row r="357">
      <c r="A357" s="122"/>
      <c r="C357" s="29"/>
      <c r="D357" s="124"/>
      <c r="E357" s="125"/>
    </row>
    <row r="358">
      <c r="A358" s="122"/>
      <c r="C358" s="29"/>
      <c r="D358" s="124"/>
      <c r="E358" s="125"/>
    </row>
    <row r="359">
      <c r="A359" s="122"/>
      <c r="C359" s="29"/>
      <c r="D359" s="124"/>
      <c r="E359" s="125"/>
    </row>
    <row r="360">
      <c r="A360" s="122"/>
      <c r="C360" s="29"/>
      <c r="D360" s="124"/>
      <c r="E360" s="125"/>
    </row>
    <row r="361">
      <c r="A361" s="122"/>
      <c r="C361" s="29"/>
      <c r="D361" s="124"/>
      <c r="E361" s="125"/>
    </row>
    <row r="362">
      <c r="A362" s="122"/>
      <c r="C362" s="29"/>
      <c r="D362" s="124"/>
      <c r="E362" s="125"/>
    </row>
    <row r="363">
      <c r="A363" s="122"/>
      <c r="C363" s="29"/>
      <c r="D363" s="124"/>
      <c r="E363" s="125"/>
    </row>
    <row r="364">
      <c r="A364" s="122"/>
      <c r="C364" s="29"/>
      <c r="D364" s="124"/>
      <c r="E364" s="125"/>
    </row>
    <row r="365">
      <c r="A365" s="122"/>
      <c r="C365" s="29"/>
      <c r="D365" s="124"/>
      <c r="E365" s="125"/>
    </row>
    <row r="366">
      <c r="A366" s="122"/>
      <c r="C366" s="29"/>
      <c r="D366" s="124"/>
      <c r="E366" s="125"/>
    </row>
    <row r="367">
      <c r="A367" s="122"/>
      <c r="C367" s="29"/>
      <c r="D367" s="124"/>
      <c r="E367" s="125"/>
    </row>
    <row r="368">
      <c r="A368" s="122"/>
      <c r="C368" s="29"/>
      <c r="D368" s="124"/>
      <c r="E368" s="125"/>
    </row>
    <row r="369">
      <c r="A369" s="122"/>
      <c r="C369" s="29"/>
      <c r="D369" s="124"/>
      <c r="E369" s="125"/>
    </row>
    <row r="370">
      <c r="A370" s="122"/>
      <c r="C370" s="29"/>
      <c r="D370" s="124"/>
      <c r="E370" s="125"/>
    </row>
    <row r="371">
      <c r="A371" s="122"/>
      <c r="C371" s="29"/>
      <c r="D371" s="124"/>
      <c r="E371" s="125"/>
    </row>
    <row r="372">
      <c r="A372" s="122"/>
      <c r="C372" s="29"/>
      <c r="D372" s="124"/>
      <c r="E372" s="125"/>
    </row>
    <row r="373">
      <c r="A373" s="122"/>
      <c r="C373" s="29"/>
      <c r="D373" s="124"/>
      <c r="E373" s="125"/>
    </row>
    <row r="374">
      <c r="A374" s="122"/>
      <c r="C374" s="29"/>
      <c r="D374" s="124"/>
      <c r="E374" s="125"/>
    </row>
    <row r="375">
      <c r="A375" s="122"/>
      <c r="C375" s="29"/>
      <c r="D375" s="124"/>
      <c r="E375" s="125"/>
    </row>
    <row r="376">
      <c r="A376" s="122"/>
      <c r="C376" s="29"/>
      <c r="D376" s="124"/>
      <c r="E376" s="125"/>
    </row>
    <row r="377">
      <c r="A377" s="122"/>
      <c r="C377" s="29"/>
      <c r="D377" s="124"/>
      <c r="E377" s="125"/>
    </row>
    <row r="378">
      <c r="A378" s="122"/>
      <c r="C378" s="29"/>
      <c r="D378" s="124"/>
      <c r="E378" s="125"/>
    </row>
    <row r="379">
      <c r="A379" s="122"/>
      <c r="C379" s="29"/>
      <c r="D379" s="124"/>
      <c r="E379" s="125"/>
    </row>
    <row r="380">
      <c r="A380" s="122"/>
      <c r="C380" s="29"/>
      <c r="D380" s="124"/>
      <c r="E380" s="125"/>
    </row>
    <row r="381">
      <c r="A381" s="122"/>
      <c r="C381" s="29"/>
      <c r="D381" s="124"/>
      <c r="E381" s="125"/>
    </row>
    <row r="382">
      <c r="A382" s="122"/>
      <c r="C382" s="29"/>
      <c r="D382" s="124"/>
      <c r="E382" s="125"/>
    </row>
    <row r="383">
      <c r="A383" s="122"/>
      <c r="C383" s="29"/>
      <c r="D383" s="124"/>
      <c r="E383" s="125"/>
    </row>
    <row r="384">
      <c r="A384" s="122"/>
      <c r="C384" s="29"/>
      <c r="D384" s="124"/>
      <c r="E384" s="125"/>
    </row>
    <row r="385">
      <c r="A385" s="122"/>
      <c r="C385" s="29"/>
      <c r="D385" s="124"/>
      <c r="E385" s="125"/>
    </row>
    <row r="386">
      <c r="A386" s="122"/>
      <c r="C386" s="29"/>
      <c r="D386" s="124"/>
      <c r="E386" s="125"/>
    </row>
    <row r="387">
      <c r="A387" s="122"/>
      <c r="C387" s="29"/>
      <c r="D387" s="124"/>
      <c r="E387" s="125"/>
    </row>
    <row r="388">
      <c r="A388" s="122"/>
      <c r="C388" s="29"/>
      <c r="D388" s="124"/>
      <c r="E388" s="125"/>
    </row>
    <row r="389">
      <c r="A389" s="122"/>
      <c r="C389" s="29"/>
      <c r="D389" s="124"/>
      <c r="E389" s="125"/>
    </row>
    <row r="390">
      <c r="A390" s="122"/>
      <c r="C390" s="29"/>
      <c r="D390" s="124"/>
      <c r="E390" s="125"/>
    </row>
    <row r="391">
      <c r="A391" s="122"/>
      <c r="C391" s="29"/>
      <c r="D391" s="124"/>
      <c r="E391" s="125"/>
    </row>
    <row r="392">
      <c r="A392" s="122"/>
      <c r="C392" s="29"/>
      <c r="D392" s="124"/>
      <c r="E392" s="125"/>
    </row>
    <row r="393">
      <c r="A393" s="122"/>
      <c r="C393" s="29"/>
      <c r="D393" s="124"/>
      <c r="E393" s="125"/>
    </row>
    <row r="394">
      <c r="A394" s="122"/>
      <c r="C394" s="29"/>
      <c r="D394" s="124"/>
      <c r="E394" s="125"/>
    </row>
    <row r="395">
      <c r="A395" s="122"/>
      <c r="C395" s="29"/>
      <c r="D395" s="124"/>
      <c r="E395" s="125"/>
    </row>
    <row r="396">
      <c r="A396" s="122"/>
      <c r="C396" s="29"/>
      <c r="D396" s="124"/>
      <c r="E396" s="125"/>
    </row>
    <row r="397">
      <c r="A397" s="122"/>
      <c r="C397" s="29"/>
      <c r="D397" s="124"/>
      <c r="E397" s="125"/>
    </row>
    <row r="398">
      <c r="A398" s="122"/>
      <c r="C398" s="29"/>
      <c r="D398" s="124"/>
      <c r="E398" s="125"/>
    </row>
    <row r="399">
      <c r="A399" s="122"/>
      <c r="C399" s="29"/>
      <c r="D399" s="124"/>
      <c r="E399" s="125"/>
    </row>
    <row r="400">
      <c r="A400" s="122"/>
      <c r="C400" s="29"/>
      <c r="D400" s="124"/>
      <c r="E400" s="125"/>
    </row>
    <row r="401">
      <c r="A401" s="122"/>
      <c r="C401" s="29"/>
      <c r="D401" s="124"/>
      <c r="E401" s="125"/>
    </row>
    <row r="402">
      <c r="A402" s="122"/>
      <c r="C402" s="29"/>
      <c r="D402" s="124"/>
      <c r="E402" s="125"/>
    </row>
    <row r="403">
      <c r="A403" s="122"/>
      <c r="C403" s="29"/>
      <c r="D403" s="124"/>
      <c r="E403" s="125"/>
    </row>
    <row r="404">
      <c r="A404" s="122"/>
      <c r="C404" s="29"/>
      <c r="D404" s="124"/>
      <c r="E404" s="125"/>
    </row>
    <row r="405">
      <c r="A405" s="122"/>
      <c r="C405" s="29"/>
      <c r="D405" s="124"/>
      <c r="E405" s="125"/>
    </row>
    <row r="406">
      <c r="A406" s="122"/>
      <c r="C406" s="29"/>
      <c r="D406" s="124"/>
      <c r="E406" s="125"/>
    </row>
    <row r="407">
      <c r="A407" s="122"/>
      <c r="C407" s="29"/>
      <c r="D407" s="124"/>
      <c r="E407" s="125"/>
    </row>
    <row r="408">
      <c r="A408" s="122"/>
      <c r="C408" s="29"/>
      <c r="D408" s="124"/>
      <c r="E408" s="125"/>
    </row>
    <row r="409">
      <c r="A409" s="122"/>
      <c r="C409" s="29"/>
      <c r="D409" s="124"/>
      <c r="E409" s="125"/>
    </row>
    <row r="410">
      <c r="A410" s="122"/>
      <c r="C410" s="29"/>
      <c r="D410" s="124"/>
      <c r="E410" s="125"/>
    </row>
    <row r="411">
      <c r="A411" s="122"/>
      <c r="C411" s="29"/>
      <c r="D411" s="124"/>
      <c r="E411" s="125"/>
    </row>
    <row r="412">
      <c r="A412" s="122"/>
      <c r="C412" s="29"/>
      <c r="D412" s="124"/>
      <c r="E412" s="125"/>
    </row>
    <row r="413">
      <c r="A413" s="122"/>
      <c r="C413" s="29"/>
      <c r="D413" s="124"/>
      <c r="E413" s="125"/>
    </row>
    <row r="414">
      <c r="A414" s="122"/>
      <c r="C414" s="29"/>
      <c r="D414" s="124"/>
      <c r="E414" s="125"/>
    </row>
    <row r="415">
      <c r="A415" s="122"/>
      <c r="C415" s="29"/>
      <c r="D415" s="124"/>
      <c r="E415" s="125"/>
    </row>
    <row r="416">
      <c r="A416" s="122"/>
      <c r="C416" s="29"/>
      <c r="D416" s="124"/>
      <c r="E416" s="125"/>
    </row>
    <row r="417">
      <c r="A417" s="122"/>
      <c r="C417" s="29"/>
      <c r="D417" s="124"/>
      <c r="E417" s="125"/>
    </row>
    <row r="418">
      <c r="A418" s="122"/>
      <c r="C418" s="29"/>
      <c r="D418" s="124"/>
      <c r="E418" s="125"/>
    </row>
    <row r="419">
      <c r="A419" s="122"/>
      <c r="C419" s="29"/>
      <c r="D419" s="124"/>
      <c r="E419" s="125"/>
    </row>
    <row r="420">
      <c r="A420" s="122"/>
      <c r="C420" s="29"/>
      <c r="D420" s="124"/>
      <c r="E420" s="125"/>
    </row>
    <row r="421">
      <c r="A421" s="122"/>
      <c r="C421" s="29"/>
      <c r="D421" s="124"/>
      <c r="E421" s="125"/>
    </row>
    <row r="422">
      <c r="A422" s="122"/>
      <c r="C422" s="29"/>
      <c r="D422" s="124"/>
      <c r="E422" s="125"/>
    </row>
    <row r="423">
      <c r="A423" s="122"/>
      <c r="C423" s="29"/>
      <c r="D423" s="124"/>
      <c r="E423" s="125"/>
    </row>
    <row r="424">
      <c r="A424" s="122"/>
      <c r="C424" s="29"/>
      <c r="D424" s="124"/>
      <c r="E424" s="125"/>
    </row>
    <row r="425">
      <c r="A425" s="122"/>
      <c r="C425" s="29"/>
      <c r="D425" s="124"/>
      <c r="E425" s="125"/>
    </row>
    <row r="426">
      <c r="A426" s="122"/>
      <c r="C426" s="29"/>
      <c r="D426" s="124"/>
      <c r="E426" s="125"/>
    </row>
    <row r="427">
      <c r="A427" s="122"/>
      <c r="C427" s="29"/>
      <c r="D427" s="124"/>
      <c r="E427" s="125"/>
    </row>
    <row r="428">
      <c r="A428" s="122"/>
      <c r="C428" s="29"/>
      <c r="D428" s="124"/>
      <c r="E428" s="125"/>
    </row>
    <row r="429">
      <c r="A429" s="122"/>
      <c r="C429" s="29"/>
      <c r="D429" s="124"/>
      <c r="E429" s="125"/>
    </row>
    <row r="430">
      <c r="A430" s="122"/>
      <c r="C430" s="29"/>
      <c r="D430" s="124"/>
      <c r="E430" s="125"/>
    </row>
    <row r="431">
      <c r="A431" s="122"/>
      <c r="C431" s="29"/>
      <c r="D431" s="124"/>
      <c r="E431" s="125"/>
    </row>
    <row r="432">
      <c r="A432" s="122"/>
      <c r="C432" s="29"/>
      <c r="D432" s="124"/>
      <c r="E432" s="125"/>
    </row>
    <row r="433">
      <c r="A433" s="122"/>
      <c r="C433" s="29"/>
      <c r="D433" s="124"/>
      <c r="E433" s="125"/>
    </row>
    <row r="434">
      <c r="A434" s="122"/>
      <c r="C434" s="29"/>
      <c r="D434" s="124"/>
      <c r="E434" s="125"/>
    </row>
    <row r="435">
      <c r="A435" s="122"/>
      <c r="C435" s="29"/>
      <c r="D435" s="124"/>
      <c r="E435" s="125"/>
    </row>
    <row r="436">
      <c r="A436" s="122"/>
      <c r="C436" s="29"/>
      <c r="D436" s="124"/>
      <c r="E436" s="125"/>
    </row>
    <row r="437">
      <c r="A437" s="122"/>
      <c r="C437" s="29"/>
      <c r="D437" s="124"/>
      <c r="E437" s="125"/>
    </row>
    <row r="438">
      <c r="A438" s="122"/>
      <c r="C438" s="29"/>
      <c r="D438" s="124"/>
      <c r="E438" s="125"/>
    </row>
    <row r="439">
      <c r="A439" s="122"/>
      <c r="C439" s="29"/>
      <c r="D439" s="124"/>
      <c r="E439" s="125"/>
    </row>
    <row r="440">
      <c r="A440" s="122"/>
      <c r="C440" s="29"/>
      <c r="D440" s="124"/>
      <c r="E440" s="125"/>
    </row>
    <row r="441">
      <c r="A441" s="122"/>
      <c r="C441" s="29"/>
      <c r="D441" s="124"/>
      <c r="E441" s="125"/>
    </row>
    <row r="442">
      <c r="A442" s="122"/>
      <c r="C442" s="29"/>
      <c r="D442" s="124"/>
      <c r="E442" s="125"/>
    </row>
    <row r="443">
      <c r="A443" s="122"/>
      <c r="C443" s="29"/>
      <c r="D443" s="124"/>
      <c r="E443" s="125"/>
    </row>
    <row r="444">
      <c r="A444" s="122"/>
      <c r="C444" s="29"/>
      <c r="D444" s="124"/>
      <c r="E444" s="125"/>
    </row>
    <row r="445">
      <c r="A445" s="122"/>
      <c r="C445" s="29"/>
      <c r="D445" s="124"/>
      <c r="E445" s="125"/>
    </row>
    <row r="446">
      <c r="A446" s="122"/>
      <c r="C446" s="29"/>
      <c r="D446" s="124"/>
      <c r="E446" s="125"/>
    </row>
    <row r="447">
      <c r="A447" s="122"/>
      <c r="C447" s="29"/>
      <c r="D447" s="124"/>
      <c r="E447" s="125"/>
    </row>
    <row r="448">
      <c r="A448" s="122"/>
      <c r="C448" s="29"/>
      <c r="D448" s="124"/>
      <c r="E448" s="125"/>
    </row>
    <row r="449">
      <c r="A449" s="122"/>
      <c r="C449" s="29"/>
      <c r="D449" s="124"/>
      <c r="E449" s="125"/>
    </row>
    <row r="450">
      <c r="A450" s="122"/>
      <c r="C450" s="29"/>
      <c r="D450" s="124"/>
      <c r="E450" s="125"/>
    </row>
    <row r="451">
      <c r="A451" s="122"/>
      <c r="C451" s="29"/>
      <c r="D451" s="124"/>
      <c r="E451" s="125"/>
    </row>
    <row r="452">
      <c r="A452" s="122"/>
      <c r="C452" s="29"/>
      <c r="D452" s="124"/>
      <c r="E452" s="125"/>
    </row>
    <row r="453">
      <c r="A453" s="122"/>
      <c r="C453" s="29"/>
      <c r="D453" s="124"/>
      <c r="E453" s="125"/>
    </row>
    <row r="454">
      <c r="A454" s="122"/>
      <c r="C454" s="29"/>
      <c r="D454" s="124"/>
      <c r="E454" s="125"/>
    </row>
    <row r="455">
      <c r="A455" s="122"/>
      <c r="C455" s="29"/>
      <c r="D455" s="124"/>
      <c r="E455" s="125"/>
    </row>
    <row r="456">
      <c r="A456" s="122"/>
      <c r="C456" s="29"/>
      <c r="D456" s="124"/>
      <c r="E456" s="125"/>
    </row>
    <row r="457">
      <c r="A457" s="122"/>
      <c r="C457" s="29"/>
      <c r="D457" s="124"/>
      <c r="E457" s="125"/>
    </row>
    <row r="458">
      <c r="A458" s="122"/>
      <c r="C458" s="29"/>
      <c r="D458" s="124"/>
      <c r="E458" s="125"/>
    </row>
    <row r="459">
      <c r="A459" s="122"/>
      <c r="C459" s="29"/>
      <c r="D459" s="124"/>
      <c r="E459" s="125"/>
    </row>
    <row r="460">
      <c r="A460" s="122"/>
      <c r="C460" s="29"/>
      <c r="D460" s="124"/>
      <c r="E460" s="125"/>
    </row>
    <row r="461">
      <c r="A461" s="122"/>
      <c r="C461" s="29"/>
      <c r="D461" s="124"/>
      <c r="E461" s="125"/>
    </row>
    <row r="462">
      <c r="A462" s="122"/>
      <c r="C462" s="29"/>
      <c r="D462" s="124"/>
      <c r="E462" s="125"/>
    </row>
    <row r="463">
      <c r="A463" s="122"/>
      <c r="C463" s="29"/>
      <c r="D463" s="124"/>
      <c r="E463" s="125"/>
    </row>
    <row r="464">
      <c r="A464" s="122"/>
      <c r="C464" s="29"/>
      <c r="D464" s="124"/>
      <c r="E464" s="125"/>
    </row>
    <row r="465">
      <c r="A465" s="122"/>
      <c r="C465" s="29"/>
      <c r="D465" s="124"/>
      <c r="E465" s="125"/>
    </row>
    <row r="466">
      <c r="A466" s="122"/>
      <c r="C466" s="29"/>
      <c r="D466" s="124"/>
      <c r="E466" s="125"/>
    </row>
    <row r="467">
      <c r="A467" s="122"/>
      <c r="C467" s="29"/>
      <c r="D467" s="124"/>
      <c r="E467" s="125"/>
    </row>
    <row r="468">
      <c r="A468" s="122"/>
      <c r="C468" s="29"/>
      <c r="D468" s="124"/>
      <c r="E468" s="125"/>
    </row>
    <row r="469">
      <c r="A469" s="122"/>
      <c r="C469" s="29"/>
      <c r="D469" s="124"/>
      <c r="E469" s="125"/>
    </row>
    <row r="470">
      <c r="A470" s="122"/>
      <c r="C470" s="29"/>
      <c r="D470" s="124"/>
      <c r="E470" s="125"/>
    </row>
    <row r="471">
      <c r="A471" s="122"/>
      <c r="C471" s="29"/>
      <c r="D471" s="124"/>
      <c r="E471" s="125"/>
    </row>
    <row r="472">
      <c r="A472" s="122"/>
      <c r="C472" s="29"/>
      <c r="D472" s="124"/>
      <c r="E472" s="125"/>
    </row>
    <row r="473">
      <c r="A473" s="122"/>
      <c r="C473" s="29"/>
      <c r="D473" s="124"/>
      <c r="E473" s="125"/>
    </row>
    <row r="474">
      <c r="A474" s="122"/>
      <c r="C474" s="29"/>
      <c r="D474" s="124"/>
      <c r="E474" s="125"/>
    </row>
    <row r="475">
      <c r="A475" s="122"/>
      <c r="C475" s="29"/>
      <c r="D475" s="124"/>
      <c r="E475" s="125"/>
    </row>
    <row r="476">
      <c r="A476" s="122"/>
      <c r="C476" s="29"/>
      <c r="D476" s="124"/>
      <c r="E476" s="125"/>
    </row>
    <row r="477">
      <c r="A477" s="122"/>
      <c r="C477" s="29"/>
      <c r="D477" s="124"/>
      <c r="E477" s="125"/>
    </row>
    <row r="478">
      <c r="A478" s="122"/>
      <c r="C478" s="29"/>
      <c r="D478" s="124"/>
      <c r="E478" s="125"/>
    </row>
    <row r="479">
      <c r="A479" s="122"/>
      <c r="C479" s="29"/>
      <c r="D479" s="124"/>
      <c r="E479" s="125"/>
    </row>
    <row r="480">
      <c r="A480" s="122"/>
      <c r="C480" s="29"/>
      <c r="D480" s="124"/>
      <c r="E480" s="125"/>
    </row>
    <row r="481">
      <c r="A481" s="122"/>
      <c r="C481" s="29"/>
      <c r="D481" s="124"/>
      <c r="E481" s="125"/>
    </row>
    <row r="482">
      <c r="A482" s="122"/>
      <c r="C482" s="29"/>
      <c r="D482" s="124"/>
      <c r="E482" s="125"/>
    </row>
    <row r="483">
      <c r="A483" s="122"/>
      <c r="C483" s="29"/>
      <c r="D483" s="124"/>
      <c r="E483" s="125"/>
    </row>
    <row r="484">
      <c r="A484" s="122"/>
      <c r="C484" s="29"/>
      <c r="D484" s="124"/>
      <c r="E484" s="125"/>
    </row>
    <row r="485">
      <c r="A485" s="122"/>
      <c r="C485" s="29"/>
      <c r="D485" s="124"/>
      <c r="E485" s="125"/>
    </row>
    <row r="486">
      <c r="A486" s="122"/>
      <c r="C486" s="29"/>
      <c r="D486" s="124"/>
      <c r="E486" s="125"/>
    </row>
    <row r="487">
      <c r="A487" s="122"/>
      <c r="C487" s="29"/>
      <c r="D487" s="124"/>
      <c r="E487" s="125"/>
    </row>
    <row r="488">
      <c r="A488" s="122"/>
      <c r="C488" s="29"/>
      <c r="D488" s="124"/>
      <c r="E488" s="125"/>
    </row>
    <row r="489">
      <c r="A489" s="122"/>
      <c r="C489" s="29"/>
      <c r="D489" s="124"/>
      <c r="E489" s="125"/>
    </row>
    <row r="490">
      <c r="A490" s="122"/>
      <c r="C490" s="29"/>
      <c r="D490" s="124"/>
      <c r="E490" s="125"/>
    </row>
    <row r="491">
      <c r="A491" s="122"/>
      <c r="C491" s="29"/>
      <c r="D491" s="124"/>
      <c r="E491" s="125"/>
    </row>
    <row r="492">
      <c r="A492" s="122"/>
      <c r="C492" s="29"/>
      <c r="D492" s="124"/>
      <c r="E492" s="125"/>
    </row>
    <row r="493">
      <c r="A493" s="122"/>
      <c r="C493" s="29"/>
      <c r="D493" s="124"/>
      <c r="E493" s="125"/>
    </row>
    <row r="494">
      <c r="A494" s="122"/>
      <c r="C494" s="29"/>
      <c r="D494" s="124"/>
      <c r="E494" s="125"/>
    </row>
    <row r="495">
      <c r="A495" s="122"/>
      <c r="C495" s="29"/>
      <c r="D495" s="124"/>
      <c r="E495" s="125"/>
    </row>
    <row r="496">
      <c r="A496" s="122"/>
      <c r="C496" s="29"/>
      <c r="D496" s="124"/>
      <c r="E496" s="125"/>
    </row>
    <row r="497">
      <c r="A497" s="122"/>
      <c r="C497" s="29"/>
      <c r="D497" s="124"/>
      <c r="E497" s="125"/>
    </row>
    <row r="498">
      <c r="A498" s="122"/>
      <c r="C498" s="29"/>
      <c r="D498" s="124"/>
      <c r="E498" s="125"/>
    </row>
    <row r="499">
      <c r="A499" s="122"/>
      <c r="C499" s="29"/>
      <c r="D499" s="124"/>
      <c r="E499" s="125"/>
    </row>
    <row r="500">
      <c r="A500" s="122"/>
      <c r="C500" s="29"/>
      <c r="D500" s="124"/>
      <c r="E500" s="125"/>
    </row>
    <row r="501">
      <c r="A501" s="122"/>
      <c r="C501" s="29"/>
      <c r="D501" s="124"/>
      <c r="E501" s="125"/>
    </row>
    <row r="502">
      <c r="A502" s="122"/>
      <c r="C502" s="29"/>
      <c r="D502" s="124"/>
      <c r="E502" s="125"/>
    </row>
    <row r="503">
      <c r="A503" s="122"/>
      <c r="C503" s="29"/>
      <c r="D503" s="124"/>
      <c r="E503" s="125"/>
    </row>
    <row r="504">
      <c r="A504" s="122"/>
      <c r="C504" s="29"/>
      <c r="D504" s="124"/>
      <c r="E504" s="125"/>
    </row>
    <row r="505">
      <c r="A505" s="122"/>
      <c r="C505" s="29"/>
      <c r="D505" s="124"/>
      <c r="E505" s="125"/>
    </row>
    <row r="506">
      <c r="A506" s="122"/>
      <c r="C506" s="29"/>
      <c r="D506" s="124"/>
      <c r="E506" s="125"/>
    </row>
    <row r="507">
      <c r="A507" s="122"/>
      <c r="C507" s="29"/>
      <c r="D507" s="124"/>
      <c r="E507" s="125"/>
    </row>
    <row r="508">
      <c r="A508" s="122"/>
      <c r="C508" s="29"/>
      <c r="D508" s="124"/>
      <c r="E508" s="125"/>
    </row>
    <row r="509">
      <c r="A509" s="122"/>
      <c r="C509" s="29"/>
      <c r="D509" s="124"/>
      <c r="E509" s="125"/>
    </row>
    <row r="510">
      <c r="A510" s="122"/>
      <c r="C510" s="29"/>
      <c r="D510" s="124"/>
      <c r="E510" s="125"/>
    </row>
    <row r="511">
      <c r="A511" s="122"/>
      <c r="C511" s="29"/>
      <c r="D511" s="124"/>
      <c r="E511" s="125"/>
    </row>
    <row r="512">
      <c r="A512" s="122"/>
      <c r="C512" s="29"/>
      <c r="D512" s="124"/>
      <c r="E512" s="125"/>
    </row>
    <row r="513">
      <c r="A513" s="122"/>
      <c r="C513" s="29"/>
      <c r="D513" s="124"/>
      <c r="E513" s="125"/>
    </row>
    <row r="514">
      <c r="A514" s="122"/>
      <c r="C514" s="29"/>
      <c r="D514" s="124"/>
      <c r="E514" s="125"/>
    </row>
    <row r="515">
      <c r="A515" s="122"/>
      <c r="C515" s="29"/>
      <c r="D515" s="124"/>
      <c r="E515" s="125"/>
    </row>
    <row r="516">
      <c r="A516" s="122"/>
      <c r="C516" s="29"/>
      <c r="D516" s="124"/>
      <c r="E516" s="125"/>
    </row>
    <row r="517">
      <c r="A517" s="122"/>
      <c r="C517" s="29"/>
      <c r="D517" s="124"/>
      <c r="E517" s="125"/>
    </row>
    <row r="518">
      <c r="A518" s="122"/>
      <c r="C518" s="29"/>
      <c r="D518" s="124"/>
      <c r="E518" s="125"/>
    </row>
    <row r="519">
      <c r="A519" s="122"/>
      <c r="C519" s="29"/>
      <c r="D519" s="124"/>
      <c r="E519" s="125"/>
    </row>
    <row r="520">
      <c r="A520" s="122"/>
      <c r="C520" s="29"/>
      <c r="D520" s="124"/>
      <c r="E520" s="125"/>
    </row>
    <row r="521">
      <c r="A521" s="122"/>
      <c r="C521" s="29"/>
      <c r="D521" s="124"/>
      <c r="E521" s="125"/>
    </row>
    <row r="522">
      <c r="A522" s="122"/>
      <c r="C522" s="29"/>
      <c r="D522" s="124"/>
      <c r="E522" s="125"/>
    </row>
    <row r="523">
      <c r="A523" s="122"/>
      <c r="C523" s="29"/>
      <c r="D523" s="124"/>
      <c r="E523" s="125"/>
    </row>
    <row r="524">
      <c r="A524" s="122"/>
      <c r="C524" s="29"/>
      <c r="D524" s="124"/>
      <c r="E524" s="125"/>
    </row>
    <row r="525">
      <c r="A525" s="122"/>
      <c r="C525" s="29"/>
      <c r="D525" s="124"/>
      <c r="E525" s="125"/>
    </row>
    <row r="526">
      <c r="A526" s="122"/>
      <c r="C526" s="29"/>
      <c r="D526" s="124"/>
      <c r="E526" s="125"/>
    </row>
    <row r="527">
      <c r="A527" s="122"/>
      <c r="C527" s="29"/>
      <c r="D527" s="124"/>
      <c r="E527" s="125"/>
    </row>
    <row r="528">
      <c r="A528" s="122"/>
      <c r="C528" s="29"/>
      <c r="D528" s="124"/>
      <c r="E528" s="125"/>
    </row>
    <row r="529">
      <c r="A529" s="122"/>
      <c r="C529" s="29"/>
      <c r="D529" s="124"/>
      <c r="E529" s="125"/>
    </row>
    <row r="530">
      <c r="A530" s="122"/>
      <c r="C530" s="29"/>
      <c r="D530" s="124"/>
      <c r="E530" s="125"/>
    </row>
    <row r="531">
      <c r="A531" s="122"/>
      <c r="C531" s="29"/>
      <c r="D531" s="124"/>
      <c r="E531" s="125"/>
    </row>
    <row r="532">
      <c r="A532" s="122"/>
      <c r="C532" s="29"/>
      <c r="D532" s="124"/>
      <c r="E532" s="125"/>
    </row>
    <row r="533">
      <c r="A533" s="122"/>
      <c r="C533" s="29"/>
      <c r="D533" s="124"/>
      <c r="E533" s="125"/>
    </row>
    <row r="534">
      <c r="A534" s="122"/>
      <c r="C534" s="29"/>
      <c r="D534" s="124"/>
      <c r="E534" s="125"/>
    </row>
    <row r="535">
      <c r="A535" s="122"/>
      <c r="C535" s="29"/>
      <c r="D535" s="124"/>
      <c r="E535" s="125"/>
    </row>
    <row r="536">
      <c r="A536" s="122"/>
      <c r="C536" s="29"/>
      <c r="D536" s="124"/>
      <c r="E536" s="125"/>
    </row>
    <row r="537">
      <c r="A537" s="122"/>
      <c r="C537" s="29"/>
      <c r="D537" s="124"/>
      <c r="E537" s="125"/>
    </row>
    <row r="538">
      <c r="A538" s="122"/>
      <c r="C538" s="29"/>
      <c r="D538" s="124"/>
      <c r="E538" s="125"/>
    </row>
    <row r="539">
      <c r="A539" s="122"/>
      <c r="C539" s="29"/>
      <c r="D539" s="124"/>
      <c r="E539" s="125"/>
    </row>
    <row r="540">
      <c r="A540" s="122"/>
      <c r="C540" s="29"/>
      <c r="D540" s="124"/>
      <c r="E540" s="125"/>
    </row>
    <row r="541">
      <c r="A541" s="122"/>
      <c r="C541" s="29"/>
      <c r="D541" s="124"/>
      <c r="E541" s="125"/>
    </row>
    <row r="542">
      <c r="A542" s="122"/>
      <c r="C542" s="29"/>
      <c r="D542" s="124"/>
      <c r="E542" s="125"/>
    </row>
    <row r="543">
      <c r="A543" s="122"/>
      <c r="C543" s="29"/>
      <c r="D543" s="124"/>
      <c r="E543" s="125"/>
    </row>
    <row r="544">
      <c r="A544" s="122"/>
      <c r="C544" s="29"/>
      <c r="D544" s="124"/>
      <c r="E544" s="125"/>
    </row>
    <row r="545">
      <c r="A545" s="122"/>
      <c r="C545" s="29"/>
      <c r="D545" s="124"/>
      <c r="E545" s="125"/>
    </row>
    <row r="546">
      <c r="A546" s="122"/>
      <c r="C546" s="29"/>
      <c r="D546" s="124"/>
      <c r="E546" s="125"/>
    </row>
    <row r="547">
      <c r="A547" s="122"/>
      <c r="C547" s="29"/>
      <c r="D547" s="124"/>
      <c r="E547" s="125"/>
    </row>
    <row r="548">
      <c r="A548" s="122"/>
      <c r="C548" s="29"/>
      <c r="D548" s="124"/>
      <c r="E548" s="125"/>
    </row>
    <row r="549">
      <c r="A549" s="122"/>
      <c r="C549" s="29"/>
      <c r="D549" s="124"/>
      <c r="E549" s="125"/>
    </row>
    <row r="550">
      <c r="A550" s="122"/>
      <c r="C550" s="29"/>
      <c r="D550" s="124"/>
      <c r="E550" s="125"/>
    </row>
    <row r="551">
      <c r="A551" s="122"/>
      <c r="C551" s="29"/>
      <c r="D551" s="124"/>
      <c r="E551" s="125"/>
    </row>
    <row r="552">
      <c r="A552" s="122"/>
      <c r="C552" s="29"/>
      <c r="D552" s="124"/>
      <c r="E552" s="125"/>
    </row>
    <row r="553">
      <c r="A553" s="122"/>
      <c r="C553" s="29"/>
      <c r="D553" s="124"/>
      <c r="E553" s="125"/>
    </row>
    <row r="554">
      <c r="A554" s="122"/>
      <c r="C554" s="29"/>
      <c r="D554" s="124"/>
      <c r="E554" s="125"/>
    </row>
    <row r="555">
      <c r="A555" s="122"/>
      <c r="C555" s="29"/>
      <c r="D555" s="124"/>
      <c r="E555" s="125"/>
    </row>
    <row r="556">
      <c r="A556" s="122"/>
      <c r="C556" s="29"/>
      <c r="D556" s="124"/>
      <c r="E556" s="125"/>
    </row>
    <row r="557">
      <c r="A557" s="122"/>
      <c r="C557" s="29"/>
      <c r="D557" s="124"/>
      <c r="E557" s="125"/>
    </row>
    <row r="558">
      <c r="A558" s="122"/>
      <c r="C558" s="29"/>
      <c r="D558" s="124"/>
      <c r="E558" s="125"/>
    </row>
    <row r="559">
      <c r="A559" s="122"/>
      <c r="C559" s="29"/>
      <c r="D559" s="124"/>
      <c r="E559" s="125"/>
    </row>
    <row r="560">
      <c r="A560" s="122"/>
      <c r="C560" s="29"/>
      <c r="D560" s="124"/>
      <c r="E560" s="125"/>
    </row>
    <row r="561">
      <c r="A561" s="122"/>
      <c r="C561" s="29"/>
      <c r="D561" s="124"/>
      <c r="E561" s="125"/>
    </row>
    <row r="562">
      <c r="A562" s="122"/>
      <c r="C562" s="29"/>
      <c r="D562" s="124"/>
      <c r="E562" s="125"/>
    </row>
    <row r="563">
      <c r="A563" s="122"/>
      <c r="C563" s="29"/>
      <c r="D563" s="124"/>
      <c r="E563" s="125"/>
    </row>
    <row r="564">
      <c r="A564" s="122"/>
      <c r="C564" s="29"/>
      <c r="D564" s="124"/>
      <c r="E564" s="125"/>
    </row>
    <row r="565">
      <c r="A565" s="122"/>
      <c r="C565" s="29"/>
      <c r="D565" s="124"/>
      <c r="E565" s="125"/>
    </row>
    <row r="566">
      <c r="A566" s="122"/>
      <c r="C566" s="29"/>
      <c r="D566" s="124"/>
      <c r="E566" s="125"/>
    </row>
    <row r="567">
      <c r="A567" s="122"/>
      <c r="C567" s="29"/>
      <c r="D567" s="124"/>
      <c r="E567" s="125"/>
    </row>
    <row r="568">
      <c r="A568" s="122"/>
      <c r="C568" s="29"/>
      <c r="D568" s="124"/>
      <c r="E568" s="125"/>
    </row>
    <row r="569">
      <c r="A569" s="122"/>
      <c r="C569" s="29"/>
      <c r="D569" s="124"/>
      <c r="E569" s="125"/>
    </row>
    <row r="570">
      <c r="A570" s="122"/>
      <c r="C570" s="29"/>
      <c r="D570" s="124"/>
      <c r="E570" s="125"/>
    </row>
    <row r="571">
      <c r="A571" s="122"/>
      <c r="C571" s="29"/>
      <c r="D571" s="124"/>
      <c r="E571" s="125"/>
    </row>
    <row r="572">
      <c r="A572" s="122"/>
      <c r="C572" s="29"/>
      <c r="D572" s="124"/>
      <c r="E572" s="125"/>
    </row>
    <row r="573">
      <c r="A573" s="122"/>
      <c r="C573" s="29"/>
      <c r="D573" s="124"/>
      <c r="E573" s="125"/>
    </row>
    <row r="574">
      <c r="A574" s="122"/>
      <c r="C574" s="29"/>
      <c r="D574" s="124"/>
      <c r="E574" s="125"/>
    </row>
    <row r="575">
      <c r="A575" s="122"/>
      <c r="C575" s="29"/>
      <c r="D575" s="124"/>
      <c r="E575" s="125"/>
    </row>
    <row r="576">
      <c r="A576" s="122"/>
      <c r="C576" s="29"/>
      <c r="D576" s="124"/>
      <c r="E576" s="125"/>
    </row>
    <row r="577">
      <c r="A577" s="122"/>
      <c r="C577" s="29"/>
      <c r="D577" s="124"/>
      <c r="E577" s="125"/>
    </row>
    <row r="578">
      <c r="A578" s="122"/>
      <c r="C578" s="29"/>
      <c r="D578" s="124"/>
      <c r="E578" s="125"/>
    </row>
    <row r="579">
      <c r="A579" s="122"/>
      <c r="C579" s="29"/>
      <c r="D579" s="124"/>
      <c r="E579" s="125"/>
    </row>
    <row r="580">
      <c r="A580" s="122"/>
      <c r="C580" s="29"/>
      <c r="D580" s="124"/>
      <c r="E580" s="125"/>
    </row>
    <row r="581">
      <c r="A581" s="122"/>
      <c r="C581" s="29"/>
      <c r="D581" s="124"/>
      <c r="E581" s="125"/>
    </row>
    <row r="582">
      <c r="A582" s="122"/>
      <c r="C582" s="29"/>
      <c r="D582" s="124"/>
      <c r="E582" s="125"/>
    </row>
    <row r="583">
      <c r="A583" s="122"/>
      <c r="C583" s="29"/>
      <c r="D583" s="124"/>
      <c r="E583" s="125"/>
    </row>
    <row r="584">
      <c r="A584" s="122"/>
      <c r="C584" s="29"/>
      <c r="D584" s="124"/>
      <c r="E584" s="125"/>
    </row>
    <row r="585">
      <c r="A585" s="122"/>
      <c r="C585" s="29"/>
      <c r="D585" s="124"/>
      <c r="E585" s="125"/>
    </row>
    <row r="586">
      <c r="A586" s="122"/>
      <c r="C586" s="29"/>
      <c r="D586" s="124"/>
      <c r="E586" s="125"/>
    </row>
    <row r="587">
      <c r="A587" s="122"/>
      <c r="C587" s="29"/>
      <c r="D587" s="124"/>
      <c r="E587" s="125"/>
    </row>
    <row r="588">
      <c r="A588" s="122"/>
      <c r="C588" s="29"/>
      <c r="D588" s="124"/>
      <c r="E588" s="125"/>
    </row>
    <row r="589">
      <c r="A589" s="122"/>
      <c r="C589" s="29"/>
      <c r="D589" s="124"/>
      <c r="E589" s="125"/>
    </row>
    <row r="590">
      <c r="A590" s="122"/>
      <c r="C590" s="29"/>
      <c r="D590" s="124"/>
      <c r="E590" s="125"/>
    </row>
    <row r="591">
      <c r="A591" s="122"/>
      <c r="C591" s="29"/>
      <c r="D591" s="124"/>
      <c r="E591" s="125"/>
    </row>
    <row r="592">
      <c r="A592" s="122"/>
      <c r="C592" s="29"/>
      <c r="D592" s="124"/>
      <c r="E592" s="125"/>
    </row>
    <row r="593">
      <c r="A593" s="122"/>
      <c r="C593" s="29"/>
      <c r="D593" s="124"/>
      <c r="E593" s="125"/>
    </row>
    <row r="594">
      <c r="A594" s="122"/>
      <c r="C594" s="29"/>
      <c r="D594" s="124"/>
      <c r="E594" s="125"/>
    </row>
    <row r="595">
      <c r="A595" s="122"/>
      <c r="C595" s="29"/>
      <c r="D595" s="124"/>
      <c r="E595" s="125"/>
    </row>
    <row r="596">
      <c r="A596" s="122"/>
      <c r="C596" s="29"/>
      <c r="D596" s="124"/>
      <c r="E596" s="125"/>
    </row>
    <row r="597">
      <c r="A597" s="122"/>
      <c r="C597" s="29"/>
      <c r="D597" s="124"/>
      <c r="E597" s="125"/>
    </row>
    <row r="598">
      <c r="A598" s="122"/>
      <c r="C598" s="29"/>
      <c r="D598" s="124"/>
      <c r="E598" s="125"/>
    </row>
    <row r="599">
      <c r="A599" s="122"/>
      <c r="C599" s="29"/>
      <c r="D599" s="124"/>
      <c r="E599" s="125"/>
    </row>
    <row r="600">
      <c r="A600" s="122"/>
      <c r="C600" s="29"/>
      <c r="D600" s="124"/>
      <c r="E600" s="125"/>
    </row>
    <row r="601">
      <c r="A601" s="122"/>
      <c r="C601" s="29"/>
      <c r="D601" s="124"/>
      <c r="E601" s="125"/>
    </row>
    <row r="602">
      <c r="A602" s="122"/>
      <c r="C602" s="29"/>
      <c r="D602" s="124"/>
      <c r="E602" s="125"/>
    </row>
    <row r="603">
      <c r="A603" s="122"/>
      <c r="C603" s="29"/>
      <c r="D603" s="124"/>
      <c r="E603" s="125"/>
    </row>
    <row r="604">
      <c r="A604" s="122"/>
      <c r="C604" s="29"/>
      <c r="D604" s="124"/>
      <c r="E604" s="125"/>
    </row>
    <row r="605">
      <c r="A605" s="122"/>
      <c r="C605" s="29"/>
      <c r="D605" s="124"/>
      <c r="E605" s="125"/>
    </row>
    <row r="606">
      <c r="A606" s="122"/>
      <c r="C606" s="29"/>
      <c r="D606" s="124"/>
      <c r="E606" s="125"/>
    </row>
    <row r="607">
      <c r="A607" s="122"/>
      <c r="C607" s="29"/>
      <c r="D607" s="124"/>
      <c r="E607" s="125"/>
    </row>
    <row r="608">
      <c r="A608" s="122"/>
      <c r="C608" s="29"/>
      <c r="D608" s="124"/>
      <c r="E608" s="125"/>
    </row>
    <row r="609">
      <c r="A609" s="122"/>
      <c r="C609" s="29"/>
      <c r="D609" s="124"/>
      <c r="E609" s="125"/>
    </row>
    <row r="610">
      <c r="A610" s="122"/>
      <c r="C610" s="29"/>
      <c r="D610" s="124"/>
      <c r="E610" s="125"/>
    </row>
    <row r="611">
      <c r="A611" s="122"/>
      <c r="C611" s="29"/>
      <c r="D611" s="124"/>
      <c r="E611" s="125"/>
    </row>
    <row r="612">
      <c r="A612" s="122"/>
      <c r="C612" s="29"/>
      <c r="D612" s="124"/>
      <c r="E612" s="125"/>
    </row>
    <row r="613">
      <c r="A613" s="122"/>
      <c r="C613" s="29"/>
      <c r="D613" s="124"/>
      <c r="E613" s="125"/>
    </row>
    <row r="614">
      <c r="A614" s="122"/>
      <c r="C614" s="29"/>
      <c r="D614" s="124"/>
      <c r="E614" s="125"/>
    </row>
    <row r="615">
      <c r="A615" s="122"/>
      <c r="C615" s="29"/>
      <c r="D615" s="124"/>
      <c r="E615" s="125"/>
    </row>
    <row r="616">
      <c r="A616" s="122"/>
      <c r="C616" s="29"/>
      <c r="D616" s="124"/>
      <c r="E616" s="125"/>
    </row>
    <row r="617">
      <c r="A617" s="122"/>
      <c r="C617" s="29"/>
      <c r="D617" s="124"/>
      <c r="E617" s="125"/>
    </row>
    <row r="618">
      <c r="A618" s="122"/>
      <c r="C618" s="29"/>
      <c r="D618" s="124"/>
      <c r="E618" s="125"/>
    </row>
    <row r="619">
      <c r="A619" s="122"/>
      <c r="C619" s="29"/>
      <c r="D619" s="124"/>
      <c r="E619" s="125"/>
    </row>
    <row r="620">
      <c r="A620" s="122"/>
      <c r="C620" s="29"/>
      <c r="D620" s="124"/>
      <c r="E620" s="125"/>
    </row>
    <row r="621">
      <c r="A621" s="122"/>
      <c r="C621" s="29"/>
      <c r="D621" s="124"/>
      <c r="E621" s="125"/>
    </row>
    <row r="622">
      <c r="A622" s="122"/>
      <c r="C622" s="29"/>
      <c r="D622" s="124"/>
      <c r="E622" s="125"/>
    </row>
    <row r="623">
      <c r="A623" s="122"/>
      <c r="C623" s="29"/>
      <c r="D623" s="124"/>
      <c r="E623" s="125"/>
    </row>
    <row r="624">
      <c r="A624" s="122"/>
      <c r="C624" s="29"/>
      <c r="D624" s="124"/>
      <c r="E624" s="125"/>
    </row>
    <row r="625">
      <c r="A625" s="122"/>
      <c r="C625" s="29"/>
      <c r="D625" s="124"/>
      <c r="E625" s="125"/>
    </row>
    <row r="626">
      <c r="A626" s="122"/>
      <c r="C626" s="29"/>
      <c r="D626" s="124"/>
      <c r="E626" s="125"/>
    </row>
    <row r="627">
      <c r="A627" s="122"/>
      <c r="C627" s="29"/>
      <c r="D627" s="124"/>
      <c r="E627" s="125"/>
    </row>
    <row r="628">
      <c r="A628" s="122"/>
      <c r="C628" s="29"/>
      <c r="D628" s="124"/>
      <c r="E628" s="125"/>
    </row>
    <row r="629">
      <c r="A629" s="122"/>
      <c r="C629" s="29"/>
      <c r="D629" s="124"/>
      <c r="E629" s="125"/>
    </row>
    <row r="630">
      <c r="A630" s="122"/>
      <c r="C630" s="29"/>
      <c r="D630" s="124"/>
      <c r="E630" s="125"/>
    </row>
    <row r="631">
      <c r="A631" s="122"/>
      <c r="C631" s="29"/>
      <c r="D631" s="124"/>
      <c r="E631" s="125"/>
    </row>
    <row r="632">
      <c r="A632" s="122"/>
      <c r="C632" s="29"/>
      <c r="D632" s="124"/>
      <c r="E632" s="125"/>
    </row>
    <row r="633">
      <c r="A633" s="122"/>
      <c r="C633" s="29"/>
      <c r="D633" s="124"/>
      <c r="E633" s="125"/>
    </row>
    <row r="634">
      <c r="A634" s="122"/>
      <c r="C634" s="29"/>
      <c r="D634" s="124"/>
      <c r="E634" s="125"/>
    </row>
    <row r="635">
      <c r="A635" s="122"/>
      <c r="C635" s="29"/>
      <c r="D635" s="124"/>
      <c r="E635" s="125"/>
    </row>
    <row r="636">
      <c r="A636" s="122"/>
      <c r="C636" s="29"/>
      <c r="D636" s="124"/>
      <c r="E636" s="125"/>
    </row>
    <row r="637">
      <c r="A637" s="122"/>
      <c r="C637" s="29"/>
      <c r="D637" s="124"/>
      <c r="E637" s="125"/>
    </row>
    <row r="638">
      <c r="A638" s="122"/>
      <c r="C638" s="29"/>
      <c r="D638" s="124"/>
      <c r="E638" s="125"/>
    </row>
    <row r="639">
      <c r="A639" s="122"/>
      <c r="C639" s="29"/>
      <c r="D639" s="124"/>
      <c r="E639" s="125"/>
    </row>
    <row r="640">
      <c r="A640" s="122"/>
      <c r="C640" s="29"/>
      <c r="D640" s="124"/>
      <c r="E640" s="125"/>
    </row>
    <row r="641">
      <c r="A641" s="122"/>
      <c r="C641" s="29"/>
      <c r="D641" s="124"/>
      <c r="E641" s="125"/>
    </row>
    <row r="642">
      <c r="A642" s="122"/>
      <c r="C642" s="29"/>
      <c r="D642" s="124"/>
      <c r="E642" s="125"/>
    </row>
    <row r="643">
      <c r="A643" s="122"/>
      <c r="C643" s="29"/>
      <c r="D643" s="124"/>
      <c r="E643" s="125"/>
    </row>
    <row r="644">
      <c r="A644" s="122"/>
      <c r="C644" s="29"/>
      <c r="D644" s="124"/>
      <c r="E644" s="125"/>
    </row>
    <row r="645">
      <c r="A645" s="122"/>
      <c r="C645" s="29"/>
      <c r="D645" s="124"/>
      <c r="E645" s="125"/>
    </row>
    <row r="646">
      <c r="A646" s="122"/>
      <c r="C646" s="29"/>
      <c r="D646" s="124"/>
      <c r="E646" s="125"/>
    </row>
    <row r="647">
      <c r="A647" s="122"/>
      <c r="C647" s="29"/>
      <c r="D647" s="124"/>
      <c r="E647" s="125"/>
    </row>
    <row r="648">
      <c r="A648" s="122"/>
      <c r="C648" s="29"/>
      <c r="D648" s="124"/>
      <c r="E648" s="125"/>
    </row>
    <row r="649">
      <c r="A649" s="122"/>
      <c r="C649" s="29"/>
      <c r="D649" s="124"/>
      <c r="E649" s="125"/>
    </row>
    <row r="650">
      <c r="A650" s="122"/>
      <c r="C650" s="29"/>
      <c r="D650" s="124"/>
      <c r="E650" s="125"/>
    </row>
    <row r="651">
      <c r="A651" s="122"/>
      <c r="C651" s="29"/>
      <c r="D651" s="124"/>
      <c r="E651" s="125"/>
    </row>
    <row r="652">
      <c r="A652" s="122"/>
      <c r="C652" s="29"/>
      <c r="D652" s="124"/>
      <c r="E652" s="125"/>
    </row>
    <row r="653">
      <c r="A653" s="122"/>
      <c r="C653" s="29"/>
      <c r="D653" s="124"/>
      <c r="E653" s="125"/>
    </row>
    <row r="654">
      <c r="A654" s="122"/>
      <c r="C654" s="29"/>
      <c r="D654" s="124"/>
      <c r="E654" s="125"/>
    </row>
    <row r="655">
      <c r="A655" s="122"/>
      <c r="C655" s="29"/>
      <c r="D655" s="124"/>
      <c r="E655" s="125"/>
    </row>
    <row r="656">
      <c r="A656" s="122"/>
      <c r="C656" s="29"/>
      <c r="D656" s="124"/>
      <c r="E656" s="125"/>
    </row>
    <row r="657">
      <c r="A657" s="122"/>
      <c r="C657" s="29"/>
      <c r="D657" s="124"/>
      <c r="E657" s="125"/>
    </row>
    <row r="658">
      <c r="A658" s="122"/>
      <c r="C658" s="29"/>
      <c r="D658" s="124"/>
      <c r="E658" s="125"/>
    </row>
    <row r="659">
      <c r="A659" s="122"/>
      <c r="C659" s="29"/>
      <c r="D659" s="124"/>
      <c r="E659" s="125"/>
    </row>
    <row r="660">
      <c r="A660" s="122"/>
      <c r="C660" s="29"/>
      <c r="D660" s="124"/>
      <c r="E660" s="125"/>
    </row>
    <row r="661">
      <c r="A661" s="122"/>
      <c r="C661" s="29"/>
      <c r="D661" s="124"/>
      <c r="E661" s="125"/>
    </row>
    <row r="662">
      <c r="A662" s="122"/>
      <c r="C662" s="29"/>
      <c r="D662" s="124"/>
      <c r="E662" s="125"/>
    </row>
    <row r="663">
      <c r="A663" s="122"/>
      <c r="C663" s="29"/>
      <c r="D663" s="124"/>
      <c r="E663" s="125"/>
    </row>
    <row r="664">
      <c r="A664" s="122"/>
      <c r="C664" s="29"/>
      <c r="D664" s="124"/>
      <c r="E664" s="125"/>
    </row>
    <row r="665">
      <c r="A665" s="122"/>
      <c r="C665" s="29"/>
      <c r="D665" s="124"/>
      <c r="E665" s="125"/>
    </row>
    <row r="666">
      <c r="A666" s="122"/>
      <c r="C666" s="29"/>
      <c r="D666" s="124"/>
      <c r="E666" s="125"/>
    </row>
    <row r="667">
      <c r="A667" s="122"/>
      <c r="C667" s="29"/>
      <c r="D667" s="124"/>
      <c r="E667" s="125"/>
    </row>
    <row r="668">
      <c r="A668" s="122"/>
      <c r="C668" s="29"/>
      <c r="D668" s="124"/>
      <c r="E668" s="125"/>
    </row>
    <row r="669">
      <c r="A669" s="122"/>
      <c r="C669" s="29"/>
      <c r="D669" s="124"/>
      <c r="E669" s="125"/>
    </row>
    <row r="670">
      <c r="A670" s="122"/>
      <c r="C670" s="29"/>
      <c r="D670" s="124"/>
      <c r="E670" s="125"/>
    </row>
    <row r="671">
      <c r="A671" s="122"/>
      <c r="C671" s="29"/>
      <c r="D671" s="124"/>
      <c r="E671" s="125"/>
    </row>
    <row r="672">
      <c r="A672" s="122"/>
      <c r="C672" s="29"/>
      <c r="D672" s="124"/>
      <c r="E672" s="125"/>
    </row>
    <row r="673">
      <c r="A673" s="122"/>
      <c r="C673" s="29"/>
      <c r="D673" s="124"/>
      <c r="E673" s="125"/>
    </row>
    <row r="674">
      <c r="A674" s="122"/>
      <c r="C674" s="29"/>
      <c r="D674" s="124"/>
      <c r="E674" s="125"/>
    </row>
    <row r="675">
      <c r="A675" s="122"/>
      <c r="C675" s="29"/>
      <c r="D675" s="124"/>
      <c r="E675" s="125"/>
    </row>
    <row r="676">
      <c r="A676" s="122"/>
      <c r="C676" s="29"/>
      <c r="D676" s="124"/>
      <c r="E676" s="125"/>
    </row>
    <row r="677">
      <c r="A677" s="122"/>
      <c r="C677" s="29"/>
      <c r="D677" s="124"/>
      <c r="E677" s="125"/>
    </row>
    <row r="678">
      <c r="A678" s="122"/>
      <c r="C678" s="29"/>
      <c r="D678" s="124"/>
      <c r="E678" s="125"/>
    </row>
    <row r="679">
      <c r="A679" s="122"/>
      <c r="C679" s="29"/>
      <c r="D679" s="124"/>
      <c r="E679" s="125"/>
    </row>
    <row r="680">
      <c r="A680" s="122"/>
      <c r="C680" s="29"/>
      <c r="D680" s="124"/>
      <c r="E680" s="125"/>
    </row>
    <row r="681">
      <c r="A681" s="122"/>
      <c r="C681" s="29"/>
      <c r="D681" s="124"/>
      <c r="E681" s="125"/>
    </row>
    <row r="682">
      <c r="A682" s="122"/>
      <c r="C682" s="29"/>
      <c r="D682" s="124"/>
      <c r="E682" s="125"/>
    </row>
    <row r="683">
      <c r="A683" s="122"/>
      <c r="C683" s="29"/>
      <c r="D683" s="124"/>
      <c r="E683" s="125"/>
    </row>
    <row r="684">
      <c r="A684" s="122"/>
      <c r="C684" s="29"/>
      <c r="D684" s="124"/>
      <c r="E684" s="125"/>
    </row>
    <row r="685">
      <c r="A685" s="122"/>
      <c r="C685" s="29"/>
      <c r="D685" s="124"/>
      <c r="E685" s="125"/>
    </row>
    <row r="686">
      <c r="A686" s="122"/>
      <c r="C686" s="29"/>
      <c r="D686" s="124"/>
      <c r="E686" s="125"/>
    </row>
    <row r="687">
      <c r="A687" s="122"/>
      <c r="C687" s="29"/>
      <c r="D687" s="124"/>
      <c r="E687" s="125"/>
    </row>
    <row r="688">
      <c r="A688" s="122"/>
      <c r="C688" s="29"/>
      <c r="D688" s="124"/>
      <c r="E688" s="125"/>
    </row>
    <row r="689">
      <c r="A689" s="122"/>
      <c r="C689" s="29"/>
      <c r="D689" s="124"/>
      <c r="E689" s="125"/>
    </row>
    <row r="690">
      <c r="A690" s="122"/>
      <c r="C690" s="29"/>
      <c r="D690" s="124"/>
      <c r="E690" s="125"/>
    </row>
    <row r="691">
      <c r="A691" s="122"/>
      <c r="C691" s="29"/>
      <c r="D691" s="124"/>
      <c r="E691" s="125"/>
    </row>
    <row r="692">
      <c r="A692" s="122"/>
      <c r="C692" s="29"/>
      <c r="D692" s="124"/>
      <c r="E692" s="125"/>
    </row>
    <row r="693">
      <c r="A693" s="122"/>
      <c r="C693" s="29"/>
      <c r="D693" s="124"/>
      <c r="E693" s="125"/>
    </row>
    <row r="694">
      <c r="A694" s="122"/>
      <c r="C694" s="29"/>
      <c r="D694" s="124"/>
      <c r="E694" s="125"/>
    </row>
    <row r="695">
      <c r="A695" s="122"/>
      <c r="C695" s="29"/>
      <c r="D695" s="124"/>
      <c r="E695" s="125"/>
    </row>
    <row r="696">
      <c r="A696" s="122"/>
      <c r="C696" s="29"/>
      <c r="D696" s="124"/>
      <c r="E696" s="125"/>
    </row>
    <row r="697">
      <c r="A697" s="122"/>
      <c r="C697" s="29"/>
      <c r="D697" s="124"/>
      <c r="E697" s="125"/>
    </row>
    <row r="698">
      <c r="A698" s="122"/>
      <c r="C698" s="29"/>
      <c r="D698" s="124"/>
      <c r="E698" s="125"/>
    </row>
    <row r="699">
      <c r="A699" s="122"/>
      <c r="C699" s="29"/>
      <c r="D699" s="124"/>
      <c r="E699" s="125"/>
    </row>
    <row r="700">
      <c r="A700" s="122"/>
      <c r="C700" s="29"/>
      <c r="D700" s="124"/>
      <c r="E700" s="125"/>
    </row>
    <row r="701">
      <c r="A701" s="122"/>
      <c r="C701" s="29"/>
      <c r="D701" s="124"/>
      <c r="E701" s="125"/>
    </row>
    <row r="702">
      <c r="A702" s="122"/>
      <c r="C702" s="29"/>
      <c r="D702" s="124"/>
      <c r="E702" s="125"/>
    </row>
    <row r="703">
      <c r="A703" s="122"/>
      <c r="C703" s="29"/>
      <c r="D703" s="124"/>
      <c r="E703" s="125"/>
    </row>
    <row r="704">
      <c r="A704" s="122"/>
      <c r="C704" s="29"/>
      <c r="D704" s="124"/>
      <c r="E704" s="125"/>
    </row>
    <row r="705">
      <c r="A705" s="122"/>
      <c r="C705" s="29"/>
      <c r="D705" s="124"/>
      <c r="E705" s="125"/>
    </row>
    <row r="706">
      <c r="A706" s="122"/>
      <c r="C706" s="29"/>
      <c r="D706" s="124"/>
      <c r="E706" s="125"/>
    </row>
    <row r="707">
      <c r="A707" s="122"/>
      <c r="C707" s="29"/>
      <c r="D707" s="124"/>
      <c r="E707" s="125"/>
    </row>
    <row r="708">
      <c r="A708" s="122"/>
      <c r="C708" s="29"/>
      <c r="D708" s="124"/>
      <c r="E708" s="125"/>
    </row>
    <row r="709">
      <c r="A709" s="122"/>
      <c r="C709" s="29"/>
      <c r="D709" s="124"/>
      <c r="E709" s="125"/>
    </row>
    <row r="710">
      <c r="A710" s="122"/>
      <c r="C710" s="29"/>
      <c r="D710" s="124"/>
      <c r="E710" s="125"/>
    </row>
    <row r="711">
      <c r="A711" s="122"/>
      <c r="C711" s="29"/>
      <c r="D711" s="124"/>
      <c r="E711" s="125"/>
    </row>
    <row r="712">
      <c r="A712" s="122"/>
      <c r="C712" s="29"/>
      <c r="D712" s="124"/>
      <c r="E712" s="125"/>
    </row>
    <row r="713">
      <c r="A713" s="122"/>
      <c r="C713" s="29"/>
      <c r="D713" s="124"/>
      <c r="E713" s="125"/>
    </row>
    <row r="714">
      <c r="A714" s="122"/>
      <c r="C714" s="29"/>
      <c r="D714" s="124"/>
      <c r="E714" s="125"/>
    </row>
    <row r="715">
      <c r="A715" s="122"/>
      <c r="C715" s="29"/>
      <c r="D715" s="124"/>
      <c r="E715" s="125"/>
    </row>
    <row r="716">
      <c r="A716" s="122"/>
      <c r="C716" s="29"/>
      <c r="D716" s="124"/>
      <c r="E716" s="125"/>
    </row>
    <row r="717">
      <c r="A717" s="122"/>
      <c r="C717" s="29"/>
      <c r="D717" s="124"/>
      <c r="E717" s="125"/>
    </row>
    <row r="718">
      <c r="A718" s="122"/>
      <c r="C718" s="29"/>
      <c r="D718" s="124"/>
      <c r="E718" s="125"/>
    </row>
    <row r="719">
      <c r="A719" s="122"/>
      <c r="C719" s="29"/>
      <c r="D719" s="124"/>
      <c r="E719" s="125"/>
    </row>
    <row r="720">
      <c r="A720" s="122"/>
      <c r="C720" s="29"/>
      <c r="D720" s="124"/>
      <c r="E720" s="125"/>
    </row>
    <row r="721">
      <c r="A721" s="122"/>
      <c r="C721" s="29"/>
      <c r="D721" s="124"/>
      <c r="E721" s="125"/>
    </row>
    <row r="722">
      <c r="A722" s="122"/>
      <c r="C722" s="29"/>
      <c r="D722" s="124"/>
      <c r="E722" s="125"/>
    </row>
    <row r="723">
      <c r="A723" s="122"/>
      <c r="C723" s="29"/>
      <c r="D723" s="124"/>
      <c r="E723" s="125"/>
    </row>
    <row r="724">
      <c r="A724" s="122"/>
      <c r="C724" s="29"/>
      <c r="D724" s="124"/>
      <c r="E724" s="125"/>
    </row>
    <row r="725">
      <c r="A725" s="122"/>
      <c r="C725" s="29"/>
      <c r="D725" s="124"/>
      <c r="E725" s="125"/>
    </row>
    <row r="726">
      <c r="A726" s="122"/>
      <c r="C726" s="29"/>
      <c r="D726" s="124"/>
      <c r="E726" s="125"/>
    </row>
    <row r="727">
      <c r="A727" s="122"/>
      <c r="C727" s="29"/>
      <c r="D727" s="124"/>
      <c r="E727" s="125"/>
    </row>
    <row r="728">
      <c r="A728" s="122"/>
      <c r="C728" s="29"/>
      <c r="D728" s="124"/>
      <c r="E728" s="125"/>
    </row>
    <row r="729">
      <c r="A729" s="122"/>
      <c r="C729" s="29"/>
      <c r="D729" s="124"/>
      <c r="E729" s="125"/>
    </row>
    <row r="730">
      <c r="A730" s="122"/>
      <c r="C730" s="29"/>
      <c r="D730" s="124"/>
      <c r="E730" s="125"/>
    </row>
    <row r="731">
      <c r="A731" s="122"/>
      <c r="C731" s="29"/>
      <c r="D731" s="124"/>
      <c r="E731" s="125"/>
    </row>
    <row r="732">
      <c r="A732" s="122"/>
      <c r="C732" s="29"/>
      <c r="D732" s="124"/>
      <c r="E732" s="125"/>
    </row>
    <row r="733">
      <c r="A733" s="122"/>
      <c r="C733" s="29"/>
      <c r="D733" s="124"/>
      <c r="E733" s="125"/>
    </row>
    <row r="734">
      <c r="A734" s="122"/>
      <c r="C734" s="29"/>
      <c r="D734" s="124"/>
      <c r="E734" s="125"/>
    </row>
    <row r="735">
      <c r="A735" s="122"/>
      <c r="C735" s="29"/>
      <c r="D735" s="124"/>
      <c r="E735" s="125"/>
    </row>
    <row r="736">
      <c r="A736" s="122"/>
      <c r="C736" s="29"/>
      <c r="D736" s="124"/>
      <c r="E736" s="125"/>
    </row>
    <row r="737">
      <c r="A737" s="122"/>
      <c r="C737" s="29"/>
      <c r="D737" s="124"/>
      <c r="E737" s="125"/>
    </row>
    <row r="738">
      <c r="A738" s="122"/>
      <c r="C738" s="29"/>
      <c r="D738" s="124"/>
      <c r="E738" s="125"/>
    </row>
    <row r="739">
      <c r="A739" s="122"/>
      <c r="C739" s="29"/>
      <c r="D739" s="124"/>
      <c r="E739" s="125"/>
    </row>
    <row r="740">
      <c r="A740" s="122"/>
      <c r="C740" s="29"/>
      <c r="D740" s="124"/>
      <c r="E740" s="125"/>
    </row>
    <row r="741">
      <c r="A741" s="122"/>
      <c r="C741" s="29"/>
      <c r="D741" s="124"/>
      <c r="E741" s="125"/>
    </row>
    <row r="742">
      <c r="A742" s="122"/>
      <c r="C742" s="29"/>
      <c r="D742" s="124"/>
      <c r="E742" s="125"/>
    </row>
    <row r="743">
      <c r="A743" s="122"/>
      <c r="C743" s="29"/>
      <c r="D743" s="124"/>
      <c r="E743" s="125"/>
    </row>
    <row r="744">
      <c r="A744" s="122"/>
      <c r="C744" s="29"/>
      <c r="D744" s="124"/>
      <c r="E744" s="125"/>
    </row>
    <row r="745">
      <c r="A745" s="122"/>
      <c r="C745" s="29"/>
      <c r="D745" s="124"/>
      <c r="E745" s="125"/>
    </row>
    <row r="746">
      <c r="A746" s="122"/>
      <c r="C746" s="29"/>
      <c r="D746" s="124"/>
      <c r="E746" s="125"/>
    </row>
    <row r="747">
      <c r="A747" s="122"/>
      <c r="C747" s="29"/>
      <c r="D747" s="124"/>
      <c r="E747" s="125"/>
    </row>
    <row r="748">
      <c r="A748" s="122"/>
      <c r="C748" s="29"/>
      <c r="D748" s="124"/>
      <c r="E748" s="125"/>
    </row>
    <row r="749">
      <c r="A749" s="122"/>
      <c r="C749" s="29"/>
      <c r="D749" s="124"/>
      <c r="E749" s="125"/>
    </row>
    <row r="750">
      <c r="A750" s="122"/>
      <c r="C750" s="29"/>
      <c r="D750" s="124"/>
      <c r="E750" s="125"/>
    </row>
    <row r="751">
      <c r="A751" s="122"/>
      <c r="C751" s="29"/>
      <c r="D751" s="124"/>
      <c r="E751" s="125"/>
    </row>
    <row r="752">
      <c r="A752" s="122"/>
      <c r="C752" s="29"/>
      <c r="D752" s="124"/>
      <c r="E752" s="125"/>
    </row>
    <row r="753">
      <c r="A753" s="122"/>
      <c r="C753" s="29"/>
      <c r="D753" s="124"/>
      <c r="E753" s="125"/>
    </row>
    <row r="754">
      <c r="A754" s="122"/>
      <c r="C754" s="29"/>
      <c r="D754" s="124"/>
      <c r="E754" s="125"/>
    </row>
    <row r="755">
      <c r="A755" s="122"/>
      <c r="C755" s="29"/>
      <c r="D755" s="124"/>
      <c r="E755" s="125"/>
    </row>
    <row r="756">
      <c r="A756" s="122"/>
      <c r="C756" s="29"/>
      <c r="D756" s="124"/>
      <c r="E756" s="125"/>
    </row>
    <row r="757">
      <c r="A757" s="122"/>
      <c r="C757" s="29"/>
      <c r="D757" s="124"/>
      <c r="E757" s="125"/>
    </row>
    <row r="758">
      <c r="A758" s="122"/>
      <c r="C758" s="29"/>
      <c r="D758" s="124"/>
      <c r="E758" s="125"/>
    </row>
    <row r="759">
      <c r="A759" s="122"/>
      <c r="C759" s="29"/>
      <c r="D759" s="124"/>
      <c r="E759" s="125"/>
    </row>
    <row r="760">
      <c r="A760" s="122"/>
      <c r="C760" s="29"/>
      <c r="D760" s="124"/>
      <c r="E760" s="125"/>
    </row>
    <row r="761">
      <c r="A761" s="122"/>
      <c r="C761" s="29"/>
      <c r="D761" s="124"/>
      <c r="E761" s="125"/>
    </row>
    <row r="762">
      <c r="A762" s="122"/>
      <c r="C762" s="29"/>
      <c r="D762" s="124"/>
      <c r="E762" s="125"/>
    </row>
    <row r="763">
      <c r="A763" s="122"/>
      <c r="C763" s="29"/>
      <c r="D763" s="124"/>
      <c r="E763" s="125"/>
    </row>
    <row r="764">
      <c r="A764" s="122"/>
      <c r="C764" s="29"/>
      <c r="D764" s="124"/>
      <c r="E764" s="125"/>
    </row>
    <row r="765">
      <c r="A765" s="122"/>
      <c r="C765" s="29"/>
      <c r="D765" s="124"/>
      <c r="E765" s="125"/>
    </row>
    <row r="766">
      <c r="A766" s="122"/>
      <c r="C766" s="29"/>
      <c r="D766" s="124"/>
      <c r="E766" s="125"/>
    </row>
    <row r="767">
      <c r="A767" s="122"/>
      <c r="C767" s="29"/>
      <c r="D767" s="124"/>
      <c r="E767" s="125"/>
    </row>
    <row r="768">
      <c r="A768" s="122"/>
      <c r="C768" s="29"/>
      <c r="D768" s="124"/>
      <c r="E768" s="125"/>
    </row>
    <row r="769">
      <c r="A769" s="122"/>
      <c r="C769" s="29"/>
      <c r="D769" s="124"/>
      <c r="E769" s="125"/>
    </row>
    <row r="770">
      <c r="A770" s="122"/>
      <c r="C770" s="29"/>
      <c r="D770" s="124"/>
      <c r="E770" s="125"/>
    </row>
    <row r="771">
      <c r="A771" s="122"/>
      <c r="C771" s="29"/>
      <c r="D771" s="124"/>
      <c r="E771" s="125"/>
    </row>
    <row r="772">
      <c r="A772" s="122"/>
      <c r="C772" s="29"/>
      <c r="D772" s="124"/>
      <c r="E772" s="125"/>
    </row>
    <row r="773">
      <c r="A773" s="122"/>
      <c r="C773" s="29"/>
      <c r="D773" s="124"/>
      <c r="E773" s="125"/>
    </row>
    <row r="774">
      <c r="A774" s="122"/>
      <c r="C774" s="29"/>
      <c r="D774" s="124"/>
      <c r="E774" s="125"/>
    </row>
    <row r="775">
      <c r="A775" s="122"/>
      <c r="C775" s="29"/>
      <c r="D775" s="124"/>
      <c r="E775" s="125"/>
    </row>
    <row r="776">
      <c r="A776" s="122"/>
      <c r="C776" s="29"/>
      <c r="D776" s="124"/>
      <c r="E776" s="125"/>
    </row>
    <row r="777">
      <c r="A777" s="122"/>
      <c r="C777" s="29"/>
      <c r="D777" s="124"/>
      <c r="E777" s="125"/>
    </row>
    <row r="778">
      <c r="A778" s="122"/>
      <c r="C778" s="29"/>
      <c r="D778" s="124"/>
      <c r="E778" s="125"/>
    </row>
    <row r="779">
      <c r="A779" s="122"/>
      <c r="C779" s="29"/>
      <c r="D779" s="124"/>
      <c r="E779" s="125"/>
    </row>
    <row r="780">
      <c r="A780" s="122"/>
      <c r="C780" s="29"/>
      <c r="D780" s="124"/>
      <c r="E780" s="125"/>
    </row>
    <row r="781">
      <c r="A781" s="122"/>
      <c r="C781" s="29"/>
      <c r="D781" s="124"/>
      <c r="E781" s="125"/>
    </row>
    <row r="782">
      <c r="A782" s="122"/>
      <c r="C782" s="29"/>
      <c r="D782" s="124"/>
      <c r="E782" s="125"/>
    </row>
    <row r="783">
      <c r="A783" s="122"/>
      <c r="C783" s="29"/>
      <c r="D783" s="124"/>
      <c r="E783" s="125"/>
    </row>
    <row r="784">
      <c r="A784" s="122"/>
      <c r="C784" s="29"/>
      <c r="D784" s="124"/>
      <c r="E784" s="125"/>
    </row>
    <row r="785">
      <c r="A785" s="122"/>
      <c r="C785" s="29"/>
      <c r="D785" s="124"/>
      <c r="E785" s="125"/>
    </row>
    <row r="786">
      <c r="A786" s="122"/>
      <c r="C786" s="29"/>
      <c r="D786" s="124"/>
      <c r="E786" s="125"/>
    </row>
    <row r="787">
      <c r="A787" s="122"/>
      <c r="C787" s="29"/>
      <c r="D787" s="124"/>
      <c r="E787" s="125"/>
    </row>
    <row r="788">
      <c r="A788" s="122"/>
      <c r="C788" s="29"/>
      <c r="D788" s="124"/>
      <c r="E788" s="125"/>
    </row>
    <row r="789">
      <c r="A789" s="122"/>
      <c r="C789" s="29"/>
      <c r="D789" s="124"/>
      <c r="E789" s="125"/>
    </row>
    <row r="790">
      <c r="A790" s="122"/>
      <c r="C790" s="29"/>
      <c r="D790" s="124"/>
      <c r="E790" s="125"/>
    </row>
    <row r="791">
      <c r="A791" s="122"/>
      <c r="C791" s="29"/>
      <c r="D791" s="124"/>
      <c r="E791" s="125"/>
    </row>
    <row r="792">
      <c r="A792" s="122"/>
      <c r="C792" s="29"/>
      <c r="D792" s="124"/>
      <c r="E792" s="125"/>
    </row>
    <row r="793">
      <c r="A793" s="122"/>
      <c r="C793" s="29"/>
      <c r="D793" s="124"/>
      <c r="E793" s="125"/>
    </row>
    <row r="794">
      <c r="A794" s="122"/>
      <c r="C794" s="29"/>
      <c r="D794" s="124"/>
      <c r="E794" s="125"/>
    </row>
    <row r="795">
      <c r="A795" s="122"/>
      <c r="C795" s="29"/>
      <c r="D795" s="124"/>
      <c r="E795" s="125"/>
    </row>
    <row r="796">
      <c r="A796" s="122"/>
      <c r="C796" s="29"/>
      <c r="D796" s="124"/>
      <c r="E796" s="125"/>
    </row>
    <row r="797">
      <c r="A797" s="122"/>
      <c r="C797" s="29"/>
      <c r="D797" s="124"/>
      <c r="E797" s="125"/>
    </row>
    <row r="798">
      <c r="A798" s="122"/>
      <c r="C798" s="29"/>
      <c r="D798" s="124"/>
      <c r="E798" s="125"/>
    </row>
    <row r="799">
      <c r="A799" s="122"/>
      <c r="C799" s="29"/>
      <c r="D799" s="124"/>
      <c r="E799" s="125"/>
    </row>
    <row r="800">
      <c r="A800" s="122"/>
      <c r="C800" s="29"/>
      <c r="D800" s="124"/>
      <c r="E800" s="125"/>
    </row>
    <row r="801">
      <c r="A801" s="122"/>
      <c r="C801" s="29"/>
      <c r="D801" s="124"/>
      <c r="E801" s="125"/>
    </row>
    <row r="802">
      <c r="A802" s="122"/>
      <c r="C802" s="29"/>
      <c r="D802" s="124"/>
      <c r="E802" s="125"/>
    </row>
    <row r="803">
      <c r="A803" s="122"/>
      <c r="C803" s="29"/>
      <c r="D803" s="124"/>
      <c r="E803" s="125"/>
    </row>
    <row r="804">
      <c r="A804" s="122"/>
      <c r="C804" s="29"/>
      <c r="D804" s="124"/>
      <c r="E804" s="125"/>
    </row>
    <row r="805">
      <c r="A805" s="122"/>
      <c r="C805" s="29"/>
      <c r="D805" s="124"/>
      <c r="E805" s="125"/>
    </row>
    <row r="806">
      <c r="A806" s="122"/>
      <c r="C806" s="29"/>
      <c r="D806" s="124"/>
      <c r="E806" s="125"/>
    </row>
    <row r="807">
      <c r="A807" s="122"/>
      <c r="C807" s="29"/>
      <c r="D807" s="124"/>
      <c r="E807" s="125"/>
    </row>
    <row r="808">
      <c r="A808" s="122"/>
      <c r="C808" s="29"/>
      <c r="D808" s="124"/>
      <c r="E808" s="125"/>
    </row>
    <row r="809">
      <c r="A809" s="122"/>
      <c r="C809" s="29"/>
      <c r="D809" s="124"/>
      <c r="E809" s="125"/>
    </row>
    <row r="810">
      <c r="A810" s="122"/>
      <c r="C810" s="29"/>
      <c r="D810" s="124"/>
      <c r="E810" s="125"/>
    </row>
    <row r="811">
      <c r="A811" s="122"/>
      <c r="C811" s="29"/>
      <c r="D811" s="124"/>
      <c r="E811" s="125"/>
    </row>
    <row r="812">
      <c r="A812" s="122"/>
      <c r="C812" s="29"/>
      <c r="D812" s="124"/>
      <c r="E812" s="125"/>
    </row>
    <row r="813">
      <c r="A813" s="122"/>
      <c r="C813" s="29"/>
      <c r="D813" s="124"/>
      <c r="E813" s="125"/>
    </row>
    <row r="814">
      <c r="A814" s="122"/>
      <c r="C814" s="29"/>
      <c r="D814" s="124"/>
      <c r="E814" s="125"/>
    </row>
    <row r="815">
      <c r="A815" s="122"/>
      <c r="C815" s="29"/>
      <c r="D815" s="124"/>
      <c r="E815" s="125"/>
    </row>
    <row r="816">
      <c r="A816" s="122"/>
      <c r="C816" s="29"/>
      <c r="D816" s="124"/>
      <c r="E816" s="125"/>
    </row>
    <row r="817">
      <c r="A817" s="122"/>
      <c r="C817" s="29"/>
      <c r="D817" s="124"/>
      <c r="E817" s="125"/>
    </row>
    <row r="818">
      <c r="A818" s="122"/>
      <c r="C818" s="29"/>
      <c r="D818" s="124"/>
      <c r="E818" s="125"/>
    </row>
    <row r="819">
      <c r="A819" s="122"/>
      <c r="C819" s="29"/>
      <c r="D819" s="124"/>
      <c r="E819" s="125"/>
    </row>
    <row r="820">
      <c r="A820" s="122"/>
      <c r="C820" s="29"/>
      <c r="D820" s="124"/>
      <c r="E820" s="125"/>
    </row>
    <row r="821">
      <c r="A821" s="122"/>
      <c r="C821" s="29"/>
      <c r="D821" s="124"/>
      <c r="E821" s="125"/>
    </row>
    <row r="822">
      <c r="A822" s="122"/>
      <c r="C822" s="29"/>
      <c r="D822" s="124"/>
      <c r="E822" s="125"/>
    </row>
    <row r="823">
      <c r="A823" s="122"/>
      <c r="C823" s="29"/>
      <c r="D823" s="124"/>
      <c r="E823" s="125"/>
    </row>
    <row r="824">
      <c r="A824" s="122"/>
      <c r="C824" s="29"/>
      <c r="D824" s="124"/>
      <c r="E824" s="125"/>
    </row>
    <row r="825">
      <c r="A825" s="122"/>
      <c r="C825" s="29"/>
      <c r="D825" s="124"/>
      <c r="E825" s="125"/>
    </row>
    <row r="826">
      <c r="A826" s="122"/>
      <c r="C826" s="29"/>
      <c r="D826" s="124"/>
      <c r="E826" s="125"/>
    </row>
    <row r="827">
      <c r="A827" s="122"/>
      <c r="C827" s="29"/>
      <c r="D827" s="124"/>
      <c r="E827" s="125"/>
    </row>
    <row r="828">
      <c r="A828" s="122"/>
      <c r="C828" s="29"/>
      <c r="D828" s="124"/>
      <c r="E828" s="125"/>
    </row>
    <row r="829">
      <c r="A829" s="122"/>
      <c r="C829" s="29"/>
      <c r="D829" s="124"/>
      <c r="E829" s="125"/>
    </row>
    <row r="830">
      <c r="A830" s="122"/>
      <c r="C830" s="29"/>
      <c r="D830" s="124"/>
      <c r="E830" s="125"/>
    </row>
    <row r="831">
      <c r="A831" s="122"/>
      <c r="C831" s="29"/>
      <c r="D831" s="124"/>
      <c r="E831" s="125"/>
    </row>
    <row r="832">
      <c r="A832" s="122"/>
      <c r="C832" s="29"/>
      <c r="D832" s="124"/>
      <c r="E832" s="125"/>
    </row>
    <row r="833">
      <c r="A833" s="122"/>
      <c r="C833" s="29"/>
      <c r="D833" s="124"/>
      <c r="E833" s="125"/>
    </row>
    <row r="834">
      <c r="A834" s="122"/>
      <c r="C834" s="29"/>
      <c r="D834" s="124"/>
      <c r="E834" s="125"/>
    </row>
    <row r="835">
      <c r="A835" s="122"/>
      <c r="C835" s="29"/>
      <c r="D835" s="124"/>
      <c r="E835" s="125"/>
    </row>
    <row r="836">
      <c r="A836" s="122"/>
      <c r="C836" s="29"/>
      <c r="D836" s="124"/>
      <c r="E836" s="125"/>
    </row>
    <row r="837">
      <c r="A837" s="122"/>
      <c r="C837" s="29"/>
      <c r="D837" s="124"/>
      <c r="E837" s="125"/>
    </row>
    <row r="838">
      <c r="A838" s="122"/>
      <c r="C838" s="29"/>
      <c r="D838" s="124"/>
      <c r="E838" s="125"/>
    </row>
    <row r="839">
      <c r="A839" s="122"/>
      <c r="C839" s="29"/>
      <c r="D839" s="124"/>
      <c r="E839" s="125"/>
    </row>
    <row r="840">
      <c r="A840" s="122"/>
      <c r="C840" s="29"/>
      <c r="D840" s="124"/>
      <c r="E840" s="125"/>
    </row>
    <row r="841">
      <c r="A841" s="122"/>
      <c r="C841" s="29"/>
      <c r="D841" s="124"/>
      <c r="E841" s="125"/>
    </row>
    <row r="842">
      <c r="A842" s="122"/>
      <c r="C842" s="29"/>
      <c r="D842" s="124"/>
      <c r="E842" s="125"/>
    </row>
    <row r="843">
      <c r="A843" s="122"/>
      <c r="C843" s="29"/>
      <c r="D843" s="124"/>
      <c r="E843" s="125"/>
    </row>
    <row r="844">
      <c r="A844" s="122"/>
      <c r="C844" s="29"/>
      <c r="D844" s="124"/>
      <c r="E844" s="125"/>
    </row>
    <row r="845">
      <c r="A845" s="122"/>
      <c r="C845" s="29"/>
      <c r="D845" s="124"/>
      <c r="E845" s="125"/>
    </row>
    <row r="846">
      <c r="A846" s="122"/>
      <c r="C846" s="29"/>
      <c r="D846" s="124"/>
      <c r="E846" s="125"/>
    </row>
    <row r="847">
      <c r="A847" s="122"/>
      <c r="C847" s="29"/>
      <c r="D847" s="124"/>
      <c r="E847" s="125"/>
    </row>
    <row r="848">
      <c r="A848" s="122"/>
      <c r="C848" s="29"/>
      <c r="D848" s="124"/>
      <c r="E848" s="125"/>
    </row>
    <row r="849">
      <c r="A849" s="122"/>
      <c r="C849" s="29"/>
      <c r="D849" s="124"/>
      <c r="E849" s="125"/>
    </row>
    <row r="850">
      <c r="A850" s="122"/>
      <c r="C850" s="29"/>
      <c r="D850" s="124"/>
      <c r="E850" s="125"/>
    </row>
    <row r="851">
      <c r="A851" s="122"/>
      <c r="C851" s="29"/>
      <c r="D851" s="124"/>
      <c r="E851" s="125"/>
    </row>
    <row r="852">
      <c r="A852" s="122"/>
      <c r="C852" s="29"/>
      <c r="D852" s="124"/>
      <c r="E852" s="125"/>
    </row>
    <row r="853">
      <c r="A853" s="122"/>
      <c r="C853" s="29"/>
      <c r="D853" s="124"/>
      <c r="E853" s="125"/>
    </row>
    <row r="854">
      <c r="A854" s="122"/>
      <c r="C854" s="29"/>
      <c r="D854" s="124"/>
      <c r="E854" s="125"/>
    </row>
    <row r="855">
      <c r="A855" s="122"/>
      <c r="C855" s="29"/>
      <c r="D855" s="124"/>
      <c r="E855" s="125"/>
    </row>
    <row r="856">
      <c r="A856" s="122"/>
      <c r="C856" s="29"/>
      <c r="D856" s="124"/>
      <c r="E856" s="125"/>
    </row>
    <row r="857">
      <c r="A857" s="122"/>
      <c r="C857" s="29"/>
      <c r="D857" s="124"/>
      <c r="E857" s="125"/>
    </row>
    <row r="858">
      <c r="A858" s="122"/>
      <c r="C858" s="29"/>
      <c r="D858" s="124"/>
      <c r="E858" s="125"/>
    </row>
    <row r="859">
      <c r="A859" s="122"/>
      <c r="C859" s="29"/>
      <c r="D859" s="124"/>
      <c r="E859" s="125"/>
    </row>
    <row r="860">
      <c r="A860" s="122"/>
      <c r="C860" s="29"/>
      <c r="D860" s="124"/>
      <c r="E860" s="125"/>
    </row>
    <row r="861">
      <c r="A861" s="122"/>
      <c r="C861" s="29"/>
      <c r="D861" s="124"/>
      <c r="E861" s="125"/>
    </row>
    <row r="862">
      <c r="A862" s="122"/>
      <c r="C862" s="29"/>
      <c r="D862" s="124"/>
      <c r="E862" s="125"/>
    </row>
    <row r="863">
      <c r="A863" s="122"/>
      <c r="C863" s="29"/>
      <c r="D863" s="124"/>
      <c r="E863" s="125"/>
    </row>
    <row r="864">
      <c r="A864" s="122"/>
      <c r="C864" s="29"/>
      <c r="D864" s="124"/>
      <c r="E864" s="125"/>
    </row>
    <row r="865">
      <c r="A865" s="122"/>
      <c r="C865" s="29"/>
      <c r="D865" s="124"/>
      <c r="E865" s="125"/>
    </row>
    <row r="866">
      <c r="A866" s="122"/>
      <c r="C866" s="29"/>
      <c r="D866" s="124"/>
      <c r="E866" s="125"/>
    </row>
    <row r="867">
      <c r="A867" s="122"/>
      <c r="C867" s="29"/>
      <c r="D867" s="124"/>
      <c r="E867" s="125"/>
    </row>
    <row r="868">
      <c r="A868" s="122"/>
      <c r="C868" s="29"/>
      <c r="D868" s="124"/>
      <c r="E868" s="125"/>
    </row>
    <row r="869">
      <c r="A869" s="122"/>
      <c r="C869" s="29"/>
      <c r="D869" s="124"/>
      <c r="E869" s="125"/>
    </row>
    <row r="870">
      <c r="A870" s="122"/>
      <c r="C870" s="29"/>
      <c r="D870" s="124"/>
      <c r="E870" s="125"/>
    </row>
    <row r="871">
      <c r="A871" s="122"/>
      <c r="C871" s="29"/>
      <c r="D871" s="124"/>
      <c r="E871" s="125"/>
    </row>
    <row r="872">
      <c r="A872" s="122"/>
      <c r="C872" s="29"/>
      <c r="D872" s="124"/>
      <c r="E872" s="125"/>
    </row>
    <row r="873">
      <c r="A873" s="122"/>
      <c r="C873" s="29"/>
      <c r="D873" s="124"/>
      <c r="E873" s="125"/>
    </row>
    <row r="874">
      <c r="A874" s="122"/>
      <c r="C874" s="29"/>
      <c r="D874" s="124"/>
      <c r="E874" s="125"/>
    </row>
    <row r="875">
      <c r="A875" s="122"/>
      <c r="C875" s="29"/>
      <c r="D875" s="124"/>
      <c r="E875" s="125"/>
    </row>
    <row r="876">
      <c r="A876" s="122"/>
      <c r="C876" s="29"/>
      <c r="D876" s="124"/>
      <c r="E876" s="125"/>
    </row>
    <row r="877">
      <c r="A877" s="122"/>
      <c r="C877" s="29"/>
      <c r="D877" s="124"/>
      <c r="E877" s="125"/>
    </row>
    <row r="878">
      <c r="A878" s="122"/>
      <c r="C878" s="29"/>
      <c r="D878" s="124"/>
      <c r="E878" s="125"/>
    </row>
    <row r="879">
      <c r="A879" s="122"/>
      <c r="C879" s="29"/>
      <c r="D879" s="124"/>
      <c r="E879" s="125"/>
    </row>
    <row r="880">
      <c r="A880" s="122"/>
      <c r="C880" s="29"/>
      <c r="D880" s="124"/>
      <c r="E880" s="125"/>
    </row>
    <row r="881">
      <c r="A881" s="122"/>
      <c r="C881" s="29"/>
      <c r="D881" s="124"/>
      <c r="E881" s="125"/>
    </row>
    <row r="882">
      <c r="A882" s="122"/>
      <c r="C882" s="29"/>
      <c r="D882" s="124"/>
      <c r="E882" s="125"/>
    </row>
    <row r="883">
      <c r="A883" s="122"/>
      <c r="C883" s="29"/>
      <c r="D883" s="124"/>
      <c r="E883" s="125"/>
    </row>
    <row r="884">
      <c r="A884" s="122"/>
      <c r="C884" s="29"/>
      <c r="D884" s="124"/>
      <c r="E884" s="125"/>
    </row>
    <row r="885">
      <c r="A885" s="122"/>
      <c r="C885" s="29"/>
      <c r="D885" s="124"/>
      <c r="E885" s="125"/>
    </row>
    <row r="886">
      <c r="A886" s="122"/>
      <c r="C886" s="29"/>
      <c r="D886" s="124"/>
      <c r="E886" s="125"/>
    </row>
    <row r="887">
      <c r="A887" s="122"/>
      <c r="C887" s="29"/>
      <c r="D887" s="124"/>
      <c r="E887" s="125"/>
    </row>
    <row r="888">
      <c r="A888" s="122"/>
      <c r="C888" s="29"/>
      <c r="D888" s="124"/>
      <c r="E888" s="125"/>
    </row>
    <row r="889">
      <c r="A889" s="122"/>
      <c r="C889" s="29"/>
      <c r="D889" s="124"/>
      <c r="E889" s="125"/>
    </row>
    <row r="890">
      <c r="A890" s="122"/>
      <c r="C890" s="29"/>
      <c r="D890" s="124"/>
      <c r="E890" s="125"/>
    </row>
    <row r="891">
      <c r="A891" s="122"/>
      <c r="C891" s="29"/>
      <c r="D891" s="124"/>
      <c r="E891" s="125"/>
    </row>
    <row r="892">
      <c r="A892" s="122"/>
      <c r="C892" s="29"/>
      <c r="D892" s="124"/>
      <c r="E892" s="125"/>
    </row>
    <row r="893">
      <c r="A893" s="122"/>
      <c r="C893" s="29"/>
      <c r="D893" s="124"/>
      <c r="E893" s="125"/>
    </row>
    <row r="894">
      <c r="A894" s="122"/>
      <c r="C894" s="29"/>
      <c r="D894" s="124"/>
      <c r="E894" s="125"/>
    </row>
    <row r="895">
      <c r="A895" s="122"/>
      <c r="C895" s="29"/>
      <c r="D895" s="124"/>
      <c r="E895" s="125"/>
    </row>
    <row r="896">
      <c r="A896" s="122"/>
      <c r="C896" s="29"/>
      <c r="D896" s="124"/>
      <c r="E896" s="125"/>
    </row>
    <row r="897">
      <c r="A897" s="122"/>
      <c r="C897" s="29"/>
      <c r="D897" s="124"/>
      <c r="E897" s="125"/>
    </row>
    <row r="898">
      <c r="A898" s="122"/>
      <c r="C898" s="29"/>
      <c r="D898" s="124"/>
      <c r="E898" s="125"/>
    </row>
    <row r="899">
      <c r="A899" s="122"/>
      <c r="C899" s="29"/>
      <c r="D899" s="124"/>
      <c r="E899" s="125"/>
    </row>
    <row r="900">
      <c r="A900" s="122"/>
      <c r="C900" s="29"/>
      <c r="D900" s="124"/>
      <c r="E900" s="125"/>
    </row>
    <row r="901">
      <c r="A901" s="122"/>
      <c r="C901" s="29"/>
      <c r="D901" s="124"/>
      <c r="E901" s="125"/>
    </row>
    <row r="902">
      <c r="A902" s="122"/>
      <c r="C902" s="29"/>
      <c r="D902" s="124"/>
      <c r="E902" s="125"/>
    </row>
    <row r="903">
      <c r="A903" s="122"/>
      <c r="C903" s="29"/>
      <c r="D903" s="124"/>
      <c r="E903" s="125"/>
    </row>
    <row r="904">
      <c r="A904" s="122"/>
      <c r="C904" s="29"/>
      <c r="D904" s="124"/>
      <c r="E904" s="125"/>
    </row>
    <row r="905">
      <c r="A905" s="122"/>
      <c r="C905" s="29"/>
      <c r="D905" s="124"/>
      <c r="E905" s="125"/>
    </row>
    <row r="906">
      <c r="A906" s="122"/>
      <c r="C906" s="29"/>
      <c r="D906" s="124"/>
      <c r="E906" s="125"/>
    </row>
    <row r="907">
      <c r="A907" s="122"/>
      <c r="C907" s="29"/>
      <c r="D907" s="124"/>
      <c r="E907" s="125"/>
    </row>
    <row r="908">
      <c r="A908" s="122"/>
      <c r="C908" s="29"/>
      <c r="D908" s="124"/>
      <c r="E908" s="125"/>
    </row>
    <row r="909">
      <c r="A909" s="122"/>
      <c r="C909" s="29"/>
      <c r="D909" s="124"/>
      <c r="E909" s="125"/>
    </row>
    <row r="910">
      <c r="A910" s="122"/>
      <c r="C910" s="29"/>
      <c r="D910" s="124"/>
      <c r="E910" s="125"/>
    </row>
    <row r="911">
      <c r="A911" s="122"/>
      <c r="C911" s="29"/>
      <c r="D911" s="124"/>
      <c r="E911" s="125"/>
    </row>
    <row r="912">
      <c r="A912" s="122"/>
      <c r="C912" s="29"/>
      <c r="D912" s="124"/>
      <c r="E912" s="125"/>
    </row>
    <row r="913">
      <c r="A913" s="122"/>
      <c r="C913" s="29"/>
      <c r="D913" s="124"/>
      <c r="E913" s="125"/>
    </row>
    <row r="914">
      <c r="A914" s="122"/>
      <c r="C914" s="29"/>
      <c r="D914" s="124"/>
      <c r="E914" s="125"/>
    </row>
    <row r="915">
      <c r="A915" s="122"/>
      <c r="C915" s="29"/>
      <c r="D915" s="124"/>
      <c r="E915" s="125"/>
    </row>
    <row r="916">
      <c r="A916" s="122"/>
      <c r="C916" s="29"/>
      <c r="D916" s="124"/>
      <c r="E916" s="125"/>
    </row>
    <row r="917">
      <c r="A917" s="122"/>
      <c r="C917" s="29"/>
      <c r="D917" s="124"/>
      <c r="E917" s="125"/>
    </row>
    <row r="918">
      <c r="A918" s="122"/>
      <c r="C918" s="29"/>
      <c r="D918" s="124"/>
      <c r="E918" s="125"/>
    </row>
    <row r="919">
      <c r="A919" s="122"/>
      <c r="C919" s="29"/>
      <c r="D919" s="124"/>
      <c r="E919" s="125"/>
    </row>
    <row r="920">
      <c r="A920" s="122"/>
      <c r="C920" s="29"/>
      <c r="D920" s="124"/>
      <c r="E920" s="125"/>
    </row>
    <row r="921">
      <c r="A921" s="122"/>
      <c r="C921" s="29"/>
      <c r="D921" s="124"/>
      <c r="E921" s="125"/>
    </row>
    <row r="922">
      <c r="A922" s="122"/>
      <c r="C922" s="29"/>
      <c r="D922" s="124"/>
      <c r="E922" s="125"/>
    </row>
    <row r="923">
      <c r="A923" s="122"/>
      <c r="C923" s="29"/>
      <c r="D923" s="124"/>
      <c r="E923" s="125"/>
    </row>
    <row r="924">
      <c r="A924" s="122"/>
      <c r="C924" s="29"/>
      <c r="D924" s="124"/>
      <c r="E924" s="125"/>
    </row>
    <row r="925">
      <c r="A925" s="122"/>
      <c r="C925" s="29"/>
      <c r="D925" s="124"/>
      <c r="E925" s="125"/>
    </row>
    <row r="926">
      <c r="A926" s="122"/>
      <c r="C926" s="29"/>
      <c r="D926" s="124"/>
      <c r="E926" s="125"/>
    </row>
    <row r="927">
      <c r="A927" s="122"/>
      <c r="C927" s="29"/>
      <c r="D927" s="124"/>
      <c r="E927" s="125"/>
    </row>
    <row r="928">
      <c r="A928" s="122"/>
      <c r="C928" s="29"/>
      <c r="D928" s="124"/>
      <c r="E928" s="125"/>
    </row>
    <row r="929">
      <c r="A929" s="122"/>
      <c r="C929" s="29"/>
      <c r="D929" s="124"/>
      <c r="E929" s="125"/>
    </row>
    <row r="930">
      <c r="A930" s="122"/>
      <c r="C930" s="29"/>
      <c r="D930" s="124"/>
      <c r="E930" s="125"/>
    </row>
    <row r="931">
      <c r="A931" s="122"/>
      <c r="C931" s="29"/>
      <c r="D931" s="124"/>
      <c r="E931" s="125"/>
    </row>
    <row r="932">
      <c r="A932" s="122"/>
      <c r="C932" s="29"/>
      <c r="D932" s="124"/>
      <c r="E932" s="125"/>
    </row>
    <row r="933">
      <c r="A933" s="122"/>
      <c r="C933" s="29"/>
      <c r="D933" s="124"/>
      <c r="E933" s="125"/>
    </row>
    <row r="934">
      <c r="A934" s="122"/>
      <c r="C934" s="29"/>
      <c r="D934" s="124"/>
      <c r="E934" s="125"/>
    </row>
    <row r="935">
      <c r="A935" s="122"/>
      <c r="C935" s="29"/>
      <c r="D935" s="124"/>
      <c r="E935" s="125"/>
    </row>
    <row r="936">
      <c r="A936" s="122"/>
      <c r="C936" s="29"/>
      <c r="D936" s="124"/>
      <c r="E936" s="125"/>
    </row>
    <row r="937">
      <c r="A937" s="122"/>
      <c r="C937" s="29"/>
      <c r="D937" s="124"/>
      <c r="E937" s="125"/>
    </row>
    <row r="938">
      <c r="A938" s="122"/>
      <c r="C938" s="29"/>
      <c r="D938" s="124"/>
      <c r="E938" s="125"/>
    </row>
    <row r="939">
      <c r="A939" s="122"/>
      <c r="C939" s="29"/>
      <c r="D939" s="124"/>
      <c r="E939" s="125"/>
    </row>
    <row r="940">
      <c r="A940" s="122"/>
      <c r="C940" s="29"/>
      <c r="D940" s="124"/>
      <c r="E940" s="125"/>
    </row>
    <row r="941">
      <c r="A941" s="122"/>
      <c r="C941" s="29"/>
      <c r="D941" s="124"/>
      <c r="E941" s="125"/>
    </row>
    <row r="942">
      <c r="A942" s="122"/>
      <c r="C942" s="29"/>
      <c r="D942" s="124"/>
      <c r="E942" s="125"/>
    </row>
    <row r="943">
      <c r="A943" s="122"/>
      <c r="C943" s="29"/>
      <c r="D943" s="124"/>
      <c r="E943" s="125"/>
    </row>
    <row r="944">
      <c r="A944" s="122"/>
      <c r="C944" s="29"/>
      <c r="D944" s="124"/>
      <c r="E944" s="125"/>
    </row>
    <row r="945">
      <c r="A945" s="122"/>
      <c r="C945" s="29"/>
      <c r="D945" s="124"/>
      <c r="E945" s="125"/>
    </row>
    <row r="946">
      <c r="A946" s="122"/>
      <c r="C946" s="29"/>
      <c r="D946" s="124"/>
      <c r="E946" s="125"/>
    </row>
    <row r="947">
      <c r="A947" s="122"/>
      <c r="C947" s="29"/>
      <c r="D947" s="124"/>
      <c r="E947" s="125"/>
    </row>
    <row r="948">
      <c r="A948" s="122"/>
      <c r="C948" s="29"/>
      <c r="D948" s="124"/>
      <c r="E948" s="125"/>
    </row>
    <row r="949">
      <c r="A949" s="122"/>
      <c r="C949" s="29"/>
      <c r="D949" s="124"/>
      <c r="E949" s="125"/>
    </row>
    <row r="950">
      <c r="A950" s="122"/>
      <c r="C950" s="29"/>
      <c r="D950" s="124"/>
      <c r="E950" s="125"/>
    </row>
    <row r="951">
      <c r="A951" s="122"/>
      <c r="C951" s="29"/>
      <c r="D951" s="124"/>
      <c r="E951" s="125"/>
    </row>
    <row r="952">
      <c r="A952" s="122"/>
      <c r="C952" s="29"/>
      <c r="D952" s="124"/>
      <c r="E952" s="125"/>
    </row>
    <row r="953">
      <c r="A953" s="122"/>
      <c r="C953" s="29"/>
      <c r="D953" s="124"/>
      <c r="E953" s="125"/>
    </row>
    <row r="954">
      <c r="A954" s="122"/>
      <c r="C954" s="29"/>
      <c r="D954" s="124"/>
      <c r="E954" s="125"/>
    </row>
    <row r="955">
      <c r="A955" s="122"/>
      <c r="C955" s="29"/>
      <c r="D955" s="124"/>
      <c r="E955" s="125"/>
    </row>
    <row r="956">
      <c r="A956" s="122"/>
      <c r="C956" s="29"/>
      <c r="D956" s="124"/>
      <c r="E956" s="125"/>
    </row>
    <row r="957">
      <c r="A957" s="122"/>
      <c r="C957" s="29"/>
      <c r="D957" s="124"/>
      <c r="E957" s="125"/>
    </row>
    <row r="958">
      <c r="A958" s="122"/>
      <c r="C958" s="29"/>
      <c r="D958" s="124"/>
      <c r="E958" s="125"/>
    </row>
    <row r="959">
      <c r="A959" s="122"/>
      <c r="C959" s="29"/>
      <c r="D959" s="124"/>
      <c r="E959" s="125"/>
    </row>
    <row r="960">
      <c r="A960" s="122"/>
      <c r="C960" s="29"/>
      <c r="D960" s="124"/>
      <c r="E960" s="125"/>
    </row>
    <row r="961">
      <c r="A961" s="122"/>
      <c r="C961" s="29"/>
      <c r="D961" s="124"/>
      <c r="E961" s="125"/>
    </row>
    <row r="962">
      <c r="A962" s="122"/>
      <c r="C962" s="29"/>
      <c r="D962" s="124"/>
      <c r="E962" s="125"/>
    </row>
    <row r="963">
      <c r="A963" s="122"/>
      <c r="C963" s="29"/>
      <c r="D963" s="124"/>
      <c r="E963" s="125"/>
    </row>
    <row r="964">
      <c r="A964" s="122"/>
      <c r="C964" s="29"/>
      <c r="D964" s="124"/>
      <c r="E964" s="125"/>
    </row>
    <row r="965">
      <c r="A965" s="122"/>
      <c r="C965" s="29"/>
      <c r="D965" s="124"/>
      <c r="E965" s="125"/>
    </row>
    <row r="966">
      <c r="A966" s="122"/>
      <c r="C966" s="29"/>
      <c r="D966" s="124"/>
      <c r="E966" s="125"/>
    </row>
    <row r="967">
      <c r="A967" s="122"/>
      <c r="C967" s="29"/>
      <c r="D967" s="124"/>
      <c r="E967" s="125"/>
    </row>
    <row r="968">
      <c r="A968" s="122"/>
      <c r="C968" s="29"/>
      <c r="D968" s="124"/>
      <c r="E968" s="125"/>
    </row>
    <row r="969">
      <c r="A969" s="122"/>
      <c r="C969" s="29"/>
      <c r="D969" s="124"/>
      <c r="E969" s="125"/>
    </row>
    <row r="970">
      <c r="A970" s="122"/>
      <c r="C970" s="29"/>
      <c r="D970" s="124"/>
      <c r="E970" s="125"/>
    </row>
    <row r="971">
      <c r="A971" s="122"/>
      <c r="C971" s="29"/>
      <c r="D971" s="124"/>
      <c r="E971" s="125"/>
    </row>
    <row r="972">
      <c r="A972" s="122"/>
      <c r="C972" s="29"/>
      <c r="D972" s="124"/>
      <c r="E972" s="125"/>
    </row>
    <row r="973">
      <c r="A973" s="122"/>
      <c r="C973" s="29"/>
      <c r="D973" s="124"/>
      <c r="E973" s="125"/>
    </row>
    <row r="974">
      <c r="A974" s="122"/>
      <c r="C974" s="29"/>
      <c r="D974" s="124"/>
      <c r="E974" s="125"/>
    </row>
    <row r="975">
      <c r="A975" s="122"/>
      <c r="C975" s="29"/>
      <c r="D975" s="124"/>
      <c r="E975" s="125"/>
    </row>
    <row r="976">
      <c r="A976" s="122"/>
      <c r="C976" s="29"/>
      <c r="D976" s="124"/>
      <c r="E976" s="125"/>
    </row>
    <row r="977">
      <c r="A977" s="122"/>
      <c r="C977" s="29"/>
      <c r="D977" s="124"/>
      <c r="E977" s="125"/>
    </row>
    <row r="978">
      <c r="A978" s="122"/>
      <c r="C978" s="29"/>
      <c r="D978" s="124"/>
      <c r="E978" s="125"/>
    </row>
    <row r="979">
      <c r="A979" s="122"/>
      <c r="C979" s="29"/>
      <c r="D979" s="124"/>
      <c r="E979" s="125"/>
    </row>
    <row r="980">
      <c r="A980" s="122"/>
      <c r="C980" s="29"/>
      <c r="D980" s="124"/>
      <c r="E980" s="125"/>
    </row>
    <row r="981">
      <c r="A981" s="122"/>
      <c r="C981" s="29"/>
      <c r="D981" s="124"/>
      <c r="E981" s="125"/>
    </row>
    <row r="982">
      <c r="A982" s="122"/>
      <c r="C982" s="29"/>
      <c r="D982" s="124"/>
      <c r="E982" s="125"/>
    </row>
    <row r="983">
      <c r="A983" s="122"/>
      <c r="C983" s="29"/>
      <c r="D983" s="124"/>
      <c r="E983" s="125"/>
    </row>
    <row r="984">
      <c r="A984" s="122"/>
      <c r="C984" s="29"/>
      <c r="D984" s="124"/>
      <c r="E984" s="125"/>
    </row>
    <row r="985">
      <c r="A985" s="122"/>
      <c r="C985" s="29"/>
      <c r="D985" s="124"/>
      <c r="E985" s="125"/>
    </row>
    <row r="986">
      <c r="A986" s="122"/>
      <c r="C986" s="29"/>
      <c r="D986" s="124"/>
      <c r="E986" s="125"/>
    </row>
    <row r="987">
      <c r="A987" s="122"/>
      <c r="C987" s="29"/>
      <c r="D987" s="124"/>
      <c r="E987" s="125"/>
    </row>
    <row r="988">
      <c r="A988" s="122"/>
      <c r="C988" s="29"/>
      <c r="D988" s="124"/>
      <c r="E988" s="125"/>
    </row>
    <row r="989">
      <c r="A989" s="122"/>
      <c r="C989" s="29"/>
      <c r="D989" s="124"/>
      <c r="E989" s="125"/>
    </row>
    <row r="990">
      <c r="A990" s="122"/>
      <c r="C990" s="29"/>
      <c r="D990" s="124"/>
      <c r="E990" s="125"/>
    </row>
    <row r="991">
      <c r="A991" s="122"/>
      <c r="C991" s="29"/>
      <c r="D991" s="124"/>
      <c r="E991" s="125"/>
    </row>
    <row r="992">
      <c r="A992" s="122"/>
      <c r="C992" s="29"/>
      <c r="D992" s="124"/>
      <c r="E992" s="125"/>
    </row>
    <row r="993">
      <c r="A993" s="122"/>
      <c r="C993" s="29"/>
      <c r="D993" s="124"/>
      <c r="E993" s="125"/>
    </row>
    <row r="994">
      <c r="A994" s="122"/>
      <c r="C994" s="29"/>
      <c r="D994" s="124"/>
      <c r="E994" s="125"/>
    </row>
    <row r="995">
      <c r="A995" s="122"/>
      <c r="C995" s="29"/>
      <c r="D995" s="124"/>
      <c r="E995" s="125"/>
    </row>
    <row r="996">
      <c r="A996" s="122"/>
      <c r="C996" s="29"/>
      <c r="D996" s="124"/>
      <c r="E996" s="125"/>
    </row>
    <row r="997">
      <c r="A997" s="122"/>
      <c r="C997" s="29"/>
      <c r="D997" s="124"/>
      <c r="E997" s="125"/>
    </row>
    <row r="998">
      <c r="A998" s="122"/>
      <c r="C998" s="29"/>
      <c r="D998" s="124"/>
      <c r="E998" s="125"/>
    </row>
    <row r="999">
      <c r="A999" s="122"/>
      <c r="C999" s="29"/>
      <c r="D999" s="124"/>
      <c r="E999" s="125"/>
    </row>
    <row r="1000">
      <c r="A1000" s="122"/>
      <c r="C1000" s="29"/>
      <c r="D1000" s="124"/>
      <c r="E1000" s="125"/>
    </row>
    <row r="1001">
      <c r="A1001" s="122"/>
      <c r="C1001" s="29"/>
      <c r="D1001" s="124"/>
      <c r="E1001" s="125"/>
    </row>
    <row r="1002">
      <c r="A1002" s="122"/>
      <c r="C1002" s="29"/>
      <c r="D1002" s="124"/>
      <c r="E1002" s="125"/>
    </row>
    <row r="1003">
      <c r="A1003" s="122"/>
      <c r="C1003" s="29"/>
      <c r="D1003" s="124"/>
      <c r="E1003" s="125"/>
    </row>
    <row r="1004">
      <c r="A1004" s="122"/>
      <c r="C1004" s="29"/>
      <c r="D1004" s="124"/>
      <c r="E1004" s="125"/>
    </row>
    <row r="1005">
      <c r="A1005" s="122"/>
      <c r="C1005" s="29"/>
      <c r="D1005" s="124"/>
      <c r="E1005" s="125"/>
    </row>
    <row r="1006">
      <c r="A1006" s="122"/>
      <c r="C1006" s="29"/>
      <c r="D1006" s="124"/>
      <c r="E1006" s="125"/>
    </row>
    <row r="1007">
      <c r="A1007" s="122"/>
      <c r="C1007" s="29"/>
      <c r="D1007" s="124"/>
      <c r="E1007" s="125"/>
    </row>
    <row r="1008">
      <c r="A1008" s="122"/>
      <c r="C1008" s="29"/>
      <c r="D1008" s="124"/>
      <c r="E1008" s="125"/>
    </row>
    <row r="1009">
      <c r="A1009" s="122"/>
      <c r="C1009" s="29"/>
      <c r="D1009" s="124"/>
      <c r="E1009" s="125"/>
    </row>
    <row r="1010">
      <c r="A1010" s="122"/>
      <c r="C1010" s="29"/>
      <c r="D1010" s="124"/>
      <c r="E1010" s="125"/>
    </row>
    <row r="1011">
      <c r="A1011" s="122"/>
      <c r="C1011" s="29"/>
      <c r="D1011" s="124"/>
      <c r="E1011" s="125"/>
    </row>
    <row r="1012">
      <c r="A1012" s="122"/>
      <c r="C1012" s="29"/>
      <c r="D1012" s="124"/>
      <c r="E1012" s="125"/>
    </row>
    <row r="1013">
      <c r="A1013" s="122"/>
      <c r="C1013" s="29"/>
      <c r="D1013" s="124"/>
      <c r="E1013" s="125"/>
    </row>
    <row r="1014">
      <c r="A1014" s="122"/>
      <c r="C1014" s="29"/>
      <c r="D1014" s="124"/>
      <c r="E1014" s="125"/>
    </row>
    <row r="1015">
      <c r="A1015" s="122"/>
      <c r="C1015" s="29"/>
      <c r="D1015" s="124"/>
      <c r="E1015" s="125"/>
    </row>
    <row r="1016">
      <c r="A1016" s="122"/>
      <c r="C1016" s="29"/>
      <c r="D1016" s="124"/>
      <c r="E1016" s="125"/>
    </row>
    <row r="1017">
      <c r="A1017" s="122"/>
      <c r="C1017" s="29"/>
      <c r="D1017" s="124"/>
      <c r="E1017" s="125"/>
    </row>
    <row r="1018">
      <c r="A1018" s="122"/>
      <c r="C1018" s="29"/>
      <c r="D1018" s="124"/>
      <c r="E1018" s="125"/>
    </row>
    <row r="1019">
      <c r="A1019" s="122"/>
      <c r="C1019" s="29"/>
      <c r="D1019" s="124"/>
      <c r="E1019" s="125"/>
    </row>
    <row r="1020">
      <c r="A1020" s="122"/>
      <c r="C1020" s="29"/>
      <c r="D1020" s="124"/>
      <c r="E1020" s="125"/>
    </row>
    <row r="1021">
      <c r="A1021" s="122"/>
      <c r="C1021" s="29"/>
      <c r="D1021" s="124"/>
      <c r="E1021" s="125"/>
    </row>
    <row r="1022">
      <c r="A1022" s="122"/>
      <c r="C1022" s="29"/>
      <c r="D1022" s="124"/>
      <c r="E1022" s="125"/>
    </row>
    <row r="1023">
      <c r="A1023" s="122"/>
      <c r="C1023" s="29"/>
      <c r="D1023" s="124"/>
      <c r="E1023" s="125"/>
    </row>
    <row r="1024">
      <c r="A1024" s="122"/>
      <c r="C1024" s="29"/>
      <c r="D1024" s="124"/>
      <c r="E1024" s="125"/>
    </row>
    <row r="1025">
      <c r="A1025" s="122"/>
      <c r="C1025" s="29"/>
      <c r="D1025" s="124"/>
      <c r="E1025" s="125"/>
    </row>
    <row r="1026">
      <c r="A1026" s="122"/>
      <c r="C1026" s="29"/>
      <c r="D1026" s="124"/>
      <c r="E1026" s="125"/>
    </row>
    <row r="1027">
      <c r="A1027" s="122"/>
      <c r="C1027" s="29"/>
      <c r="D1027" s="124"/>
      <c r="E1027" s="125"/>
    </row>
    <row r="1028">
      <c r="A1028" s="122"/>
      <c r="C1028" s="29"/>
      <c r="D1028" s="124"/>
      <c r="E1028" s="125"/>
    </row>
    <row r="1029">
      <c r="A1029" s="122"/>
      <c r="C1029" s="29"/>
      <c r="D1029" s="124"/>
      <c r="E1029" s="125"/>
    </row>
  </sheetData>
  <mergeCells count="1">
    <mergeCell ref="B1:C1"/>
  </mergeCells>
  <conditionalFormatting sqref="A1:A1029">
    <cfRule type="cellIs" dxfId="3" priority="1" operator="equal">
      <formula>"i"</formula>
    </cfRule>
  </conditionalFormatting>
  <conditionalFormatting sqref="A1:A1029">
    <cfRule type="cellIs" dxfId="4" priority="2" operator="equal">
      <formula>"f"</formula>
    </cfRule>
  </conditionalFormatting>
  <conditionalFormatting sqref="D1:D1029">
    <cfRule type="notContainsBlanks" dxfId="5" priority="3">
      <formula>LEN(TRIM(D1))&gt;0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9.13"/>
  </cols>
  <sheetData>
    <row r="1">
      <c r="A1" s="126" t="s">
        <v>91</v>
      </c>
      <c r="B1" s="127">
        <f>SUM(B3:B300)</f>
        <v>71</v>
      </c>
    </row>
    <row r="2">
      <c r="A2" s="126" t="s">
        <v>92</v>
      </c>
      <c r="B2" s="127" t="s">
        <v>93</v>
      </c>
    </row>
    <row r="3">
      <c r="A3" s="105" t="s">
        <v>94</v>
      </c>
      <c r="B3" s="128">
        <v>50.0</v>
      </c>
    </row>
    <row r="4">
      <c r="A4" s="105" t="s">
        <v>95</v>
      </c>
      <c r="B4" s="128">
        <v>21.0</v>
      </c>
    </row>
    <row r="5">
      <c r="B5" s="128"/>
    </row>
    <row r="6">
      <c r="B6" s="128"/>
    </row>
    <row r="7">
      <c r="B7" s="128"/>
    </row>
    <row r="8">
      <c r="B8" s="129"/>
    </row>
    <row r="9">
      <c r="B9" s="129"/>
    </row>
    <row r="10">
      <c r="B10" s="129"/>
    </row>
    <row r="11">
      <c r="B11" s="129"/>
    </row>
    <row r="12">
      <c r="B12" s="129"/>
    </row>
    <row r="13">
      <c r="B13" s="129"/>
    </row>
    <row r="14">
      <c r="B14" s="129"/>
    </row>
    <row r="15">
      <c r="B15" s="129"/>
    </row>
    <row r="16">
      <c r="B16" s="129"/>
    </row>
    <row r="17">
      <c r="B17" s="129"/>
    </row>
    <row r="18">
      <c r="B18" s="129"/>
    </row>
    <row r="19">
      <c r="B19" s="129"/>
    </row>
    <row r="20">
      <c r="B20" s="129"/>
    </row>
    <row r="21">
      <c r="B21" s="129"/>
    </row>
    <row r="22">
      <c r="B22" s="129"/>
    </row>
    <row r="23">
      <c r="B23" s="129"/>
    </row>
    <row r="24">
      <c r="B24" s="129"/>
    </row>
    <row r="25">
      <c r="B25" s="129"/>
    </row>
    <row r="26">
      <c r="B26" s="129"/>
    </row>
    <row r="27">
      <c r="B27" s="129"/>
    </row>
    <row r="28">
      <c r="B28" s="129"/>
    </row>
    <row r="29">
      <c r="B29" s="129"/>
    </row>
    <row r="30">
      <c r="B30" s="129"/>
    </row>
    <row r="31">
      <c r="B31" s="129"/>
    </row>
    <row r="32">
      <c r="B32" s="129"/>
    </row>
    <row r="33">
      <c r="B33" s="129"/>
    </row>
    <row r="34">
      <c r="B34" s="129"/>
    </row>
    <row r="35">
      <c r="B35" s="129"/>
    </row>
    <row r="36">
      <c r="B36" s="129"/>
    </row>
    <row r="37">
      <c r="B37" s="129"/>
    </row>
    <row r="38">
      <c r="B38" s="129"/>
    </row>
    <row r="39">
      <c r="B39" s="129"/>
    </row>
    <row r="40">
      <c r="B40" s="129"/>
    </row>
    <row r="41">
      <c r="B41" s="129"/>
    </row>
    <row r="42">
      <c r="B42" s="129"/>
    </row>
    <row r="43">
      <c r="B43" s="129"/>
    </row>
    <row r="44">
      <c r="B44" s="129"/>
    </row>
    <row r="45">
      <c r="B45" s="129"/>
    </row>
    <row r="46">
      <c r="B46" s="129"/>
    </row>
    <row r="47">
      <c r="B47" s="129"/>
    </row>
    <row r="48">
      <c r="B48" s="129"/>
    </row>
    <row r="49">
      <c r="B49" s="129"/>
    </row>
    <row r="50">
      <c r="B50" s="129"/>
    </row>
    <row r="51">
      <c r="B51" s="129"/>
    </row>
    <row r="52">
      <c r="B52" s="129"/>
    </row>
    <row r="53">
      <c r="B53" s="129"/>
    </row>
    <row r="54">
      <c r="B54" s="129"/>
    </row>
    <row r="55">
      <c r="B55" s="129"/>
    </row>
    <row r="56">
      <c r="B56" s="129"/>
    </row>
    <row r="57">
      <c r="B57" s="129"/>
    </row>
    <row r="58">
      <c r="B58" s="129"/>
    </row>
    <row r="59">
      <c r="B59" s="129"/>
    </row>
    <row r="60">
      <c r="B60" s="129"/>
    </row>
    <row r="61">
      <c r="B61" s="129"/>
    </row>
    <row r="62">
      <c r="B62" s="129"/>
    </row>
    <row r="63">
      <c r="B63" s="129"/>
    </row>
    <row r="64">
      <c r="B64" s="129"/>
    </row>
    <row r="65">
      <c r="B65" s="129"/>
    </row>
    <row r="66">
      <c r="B66" s="129"/>
    </row>
    <row r="67">
      <c r="B67" s="129"/>
    </row>
    <row r="68">
      <c r="B68" s="129"/>
    </row>
    <row r="69">
      <c r="B69" s="129"/>
    </row>
    <row r="70">
      <c r="B70" s="129"/>
    </row>
    <row r="71">
      <c r="B71" s="129"/>
    </row>
    <row r="72">
      <c r="B72" s="129"/>
    </row>
    <row r="73">
      <c r="B73" s="129"/>
    </row>
    <row r="74">
      <c r="B74" s="129"/>
    </row>
    <row r="75">
      <c r="B75" s="129"/>
    </row>
    <row r="76">
      <c r="B76" s="129"/>
    </row>
    <row r="77">
      <c r="B77" s="129"/>
    </row>
    <row r="78">
      <c r="B78" s="129"/>
    </row>
    <row r="79">
      <c r="B79" s="129"/>
    </row>
    <row r="80">
      <c r="B80" s="129"/>
    </row>
    <row r="81">
      <c r="B81" s="129"/>
    </row>
    <row r="82">
      <c r="B82" s="129"/>
    </row>
    <row r="83">
      <c r="B83" s="129"/>
    </row>
    <row r="84">
      <c r="B84" s="129"/>
    </row>
    <row r="85">
      <c r="B85" s="129"/>
    </row>
    <row r="86">
      <c r="B86" s="129"/>
    </row>
    <row r="87">
      <c r="B87" s="129"/>
    </row>
    <row r="88">
      <c r="B88" s="129"/>
    </row>
    <row r="89">
      <c r="B89" s="129"/>
    </row>
    <row r="90">
      <c r="B90" s="129"/>
    </row>
    <row r="91">
      <c r="B91" s="129"/>
    </row>
    <row r="92">
      <c r="B92" s="129"/>
    </row>
    <row r="93">
      <c r="B93" s="129"/>
    </row>
    <row r="94">
      <c r="B94" s="129"/>
    </row>
    <row r="95">
      <c r="B95" s="129"/>
    </row>
    <row r="96">
      <c r="B96" s="129"/>
    </row>
    <row r="97">
      <c r="B97" s="129"/>
    </row>
    <row r="98">
      <c r="B98" s="129"/>
    </row>
    <row r="99">
      <c r="B99" s="129"/>
    </row>
    <row r="100">
      <c r="B100" s="129"/>
    </row>
    <row r="101">
      <c r="B101" s="129"/>
    </row>
    <row r="102">
      <c r="B102" s="129"/>
    </row>
    <row r="103">
      <c r="B103" s="129"/>
    </row>
    <row r="104">
      <c r="B104" s="129"/>
    </row>
    <row r="105">
      <c r="B105" s="129"/>
    </row>
    <row r="106">
      <c r="B106" s="129"/>
    </row>
    <row r="107">
      <c r="B107" s="129"/>
    </row>
    <row r="108">
      <c r="B108" s="129"/>
    </row>
    <row r="109">
      <c r="B109" s="129"/>
    </row>
    <row r="110">
      <c r="B110" s="129"/>
    </row>
    <row r="111">
      <c r="B111" s="129"/>
    </row>
    <row r="112">
      <c r="B112" s="129"/>
    </row>
    <row r="113">
      <c r="B113" s="129"/>
    </row>
    <row r="114">
      <c r="B114" s="129"/>
    </row>
    <row r="115">
      <c r="B115" s="129"/>
    </row>
    <row r="116">
      <c r="B116" s="129"/>
    </row>
    <row r="117">
      <c r="B117" s="129"/>
    </row>
    <row r="118">
      <c r="B118" s="129"/>
    </row>
    <row r="119">
      <c r="B119" s="129"/>
    </row>
    <row r="120">
      <c r="B120" s="129"/>
    </row>
    <row r="121">
      <c r="B121" s="129"/>
    </row>
    <row r="122">
      <c r="B122" s="129"/>
    </row>
    <row r="123">
      <c r="B123" s="129"/>
    </row>
    <row r="124">
      <c r="B124" s="129"/>
    </row>
    <row r="125">
      <c r="B125" s="129"/>
    </row>
    <row r="126">
      <c r="B126" s="129"/>
    </row>
    <row r="127">
      <c r="B127" s="129"/>
    </row>
    <row r="128">
      <c r="B128" s="129"/>
    </row>
    <row r="129">
      <c r="B129" s="129"/>
    </row>
    <row r="130">
      <c r="B130" s="129"/>
    </row>
    <row r="131">
      <c r="B131" s="129"/>
    </row>
    <row r="132">
      <c r="B132" s="129"/>
    </row>
    <row r="133">
      <c r="B133" s="129"/>
    </row>
    <row r="134">
      <c r="B134" s="129"/>
    </row>
    <row r="135">
      <c r="B135" s="129"/>
    </row>
    <row r="136">
      <c r="B136" s="129"/>
    </row>
    <row r="137">
      <c r="B137" s="129"/>
    </row>
    <row r="138">
      <c r="B138" s="129"/>
    </row>
    <row r="139">
      <c r="B139" s="129"/>
    </row>
    <row r="140">
      <c r="B140" s="129"/>
    </row>
    <row r="141">
      <c r="B141" s="129"/>
    </row>
    <row r="142">
      <c r="B142" s="129"/>
    </row>
    <row r="143">
      <c r="B143" s="129"/>
    </row>
    <row r="144">
      <c r="B144" s="129"/>
    </row>
    <row r="145">
      <c r="B145" s="129"/>
    </row>
    <row r="146">
      <c r="B146" s="129"/>
    </row>
    <row r="147">
      <c r="B147" s="129"/>
    </row>
    <row r="148">
      <c r="B148" s="129"/>
    </row>
    <row r="149">
      <c r="B149" s="129"/>
    </row>
    <row r="150">
      <c r="B150" s="129"/>
    </row>
    <row r="151">
      <c r="B151" s="129"/>
    </row>
    <row r="152">
      <c r="B152" s="129"/>
    </row>
    <row r="153">
      <c r="B153" s="129"/>
    </row>
    <row r="154">
      <c r="B154" s="129"/>
    </row>
    <row r="155">
      <c r="B155" s="129"/>
    </row>
    <row r="156">
      <c r="B156" s="129"/>
    </row>
    <row r="157">
      <c r="B157" s="129"/>
    </row>
    <row r="158">
      <c r="B158" s="129"/>
    </row>
    <row r="159">
      <c r="B159" s="129"/>
    </row>
    <row r="160">
      <c r="B160" s="129"/>
    </row>
    <row r="161">
      <c r="B161" s="129"/>
    </row>
    <row r="162">
      <c r="B162" s="129"/>
    </row>
    <row r="163">
      <c r="B163" s="129"/>
    </row>
    <row r="164">
      <c r="B164" s="129"/>
    </row>
    <row r="165">
      <c r="B165" s="129"/>
    </row>
    <row r="166">
      <c r="B166" s="129"/>
    </row>
    <row r="167">
      <c r="B167" s="129"/>
    </row>
    <row r="168">
      <c r="B168" s="129"/>
    </row>
    <row r="169">
      <c r="B169" s="129"/>
    </row>
    <row r="170">
      <c r="B170" s="129"/>
    </row>
    <row r="171">
      <c r="B171" s="129"/>
    </row>
    <row r="172">
      <c r="B172" s="129"/>
    </row>
    <row r="173">
      <c r="B173" s="129"/>
    </row>
    <row r="174">
      <c r="B174" s="129"/>
    </row>
    <row r="175">
      <c r="B175" s="129"/>
    </row>
    <row r="176">
      <c r="B176" s="129"/>
    </row>
    <row r="177">
      <c r="B177" s="129"/>
    </row>
    <row r="178">
      <c r="B178" s="129"/>
    </row>
    <row r="179">
      <c r="B179" s="129"/>
    </row>
    <row r="180">
      <c r="B180" s="129"/>
    </row>
    <row r="181">
      <c r="B181" s="129"/>
    </row>
    <row r="182">
      <c r="B182" s="129"/>
    </row>
    <row r="183">
      <c r="B183" s="129"/>
    </row>
    <row r="184">
      <c r="B184" s="129"/>
    </row>
    <row r="185">
      <c r="B185" s="129"/>
    </row>
    <row r="186">
      <c r="B186" s="129"/>
    </row>
    <row r="187">
      <c r="B187" s="129"/>
    </row>
    <row r="188">
      <c r="B188" s="129"/>
    </row>
    <row r="189">
      <c r="B189" s="129"/>
    </row>
    <row r="190">
      <c r="B190" s="129"/>
    </row>
    <row r="191">
      <c r="B191" s="129"/>
    </row>
    <row r="192">
      <c r="B192" s="129"/>
    </row>
    <row r="193">
      <c r="B193" s="129"/>
    </row>
    <row r="194">
      <c r="B194" s="129"/>
    </row>
    <row r="195">
      <c r="B195" s="129"/>
    </row>
    <row r="196">
      <c r="B196" s="129"/>
    </row>
    <row r="197">
      <c r="B197" s="129"/>
    </row>
    <row r="198">
      <c r="B198" s="129"/>
    </row>
    <row r="199">
      <c r="B199" s="129"/>
    </row>
    <row r="200">
      <c r="B200" s="129"/>
    </row>
    <row r="201">
      <c r="B201" s="129"/>
    </row>
    <row r="202">
      <c r="B202" s="129"/>
    </row>
    <row r="203">
      <c r="B203" s="129"/>
    </row>
    <row r="204">
      <c r="B204" s="129"/>
    </row>
    <row r="205">
      <c r="B205" s="129"/>
    </row>
    <row r="206">
      <c r="B206" s="129"/>
    </row>
    <row r="207">
      <c r="B207" s="129"/>
    </row>
    <row r="208">
      <c r="B208" s="129"/>
    </row>
    <row r="209">
      <c r="B209" s="129"/>
    </row>
    <row r="210">
      <c r="B210" s="129"/>
    </row>
    <row r="211">
      <c r="B211" s="129"/>
    </row>
    <row r="212">
      <c r="B212" s="129"/>
    </row>
    <row r="213">
      <c r="B213" s="129"/>
    </row>
    <row r="214">
      <c r="B214" s="129"/>
    </row>
    <row r="215">
      <c r="B215" s="129"/>
    </row>
    <row r="216">
      <c r="B216" s="129"/>
    </row>
    <row r="217">
      <c r="B217" s="129"/>
    </row>
    <row r="218">
      <c r="B218" s="129"/>
    </row>
    <row r="219">
      <c r="B219" s="129"/>
    </row>
    <row r="220">
      <c r="B220" s="129"/>
    </row>
    <row r="221">
      <c r="B221" s="129"/>
    </row>
    <row r="222">
      <c r="B222" s="129"/>
    </row>
    <row r="223">
      <c r="B223" s="129"/>
    </row>
    <row r="224">
      <c r="B224" s="129"/>
    </row>
    <row r="225">
      <c r="B225" s="129"/>
    </row>
    <row r="226">
      <c r="B226" s="129"/>
    </row>
    <row r="227">
      <c r="B227" s="129"/>
    </row>
    <row r="228">
      <c r="B228" s="129"/>
    </row>
    <row r="229">
      <c r="B229" s="129"/>
    </row>
    <row r="230">
      <c r="B230" s="129"/>
    </row>
    <row r="231">
      <c r="B231" s="129"/>
    </row>
    <row r="232">
      <c r="B232" s="129"/>
    </row>
    <row r="233">
      <c r="B233" s="129"/>
    </row>
    <row r="234">
      <c r="B234" s="129"/>
    </row>
    <row r="235">
      <c r="B235" s="129"/>
    </row>
    <row r="236">
      <c r="B236" s="129"/>
    </row>
    <row r="237">
      <c r="B237" s="129"/>
    </row>
    <row r="238">
      <c r="B238" s="129"/>
    </row>
    <row r="239">
      <c r="B239" s="129"/>
    </row>
    <row r="240">
      <c r="B240" s="129"/>
    </row>
    <row r="241">
      <c r="B241" s="129"/>
    </row>
    <row r="242">
      <c r="B242" s="129"/>
    </row>
    <row r="243">
      <c r="B243" s="129"/>
    </row>
    <row r="244">
      <c r="B244" s="129"/>
    </row>
    <row r="245">
      <c r="B245" s="129"/>
    </row>
    <row r="246">
      <c r="B246" s="129"/>
    </row>
    <row r="247">
      <c r="B247" s="129"/>
    </row>
    <row r="248">
      <c r="B248" s="129"/>
    </row>
    <row r="249">
      <c r="B249" s="129"/>
    </row>
    <row r="250">
      <c r="B250" s="129"/>
    </row>
    <row r="251">
      <c r="B251" s="129"/>
    </row>
    <row r="252">
      <c r="B252" s="129"/>
    </row>
    <row r="253">
      <c r="B253" s="129"/>
    </row>
    <row r="254">
      <c r="B254" s="129"/>
    </row>
    <row r="255">
      <c r="B255" s="129"/>
    </row>
    <row r="256">
      <c r="B256" s="129"/>
    </row>
    <row r="257">
      <c r="B257" s="129"/>
    </row>
    <row r="258">
      <c r="B258" s="129"/>
    </row>
    <row r="259">
      <c r="B259" s="129"/>
    </row>
    <row r="260">
      <c r="B260" s="129"/>
    </row>
    <row r="261">
      <c r="B261" s="129"/>
    </row>
    <row r="262">
      <c r="B262" s="129"/>
    </row>
    <row r="263">
      <c r="B263" s="129"/>
    </row>
    <row r="264">
      <c r="B264" s="129"/>
    </row>
    <row r="265">
      <c r="B265" s="129"/>
    </row>
    <row r="266">
      <c r="B266" s="129"/>
    </row>
    <row r="267">
      <c r="B267" s="129"/>
    </row>
    <row r="268">
      <c r="B268" s="129"/>
    </row>
    <row r="269">
      <c r="B269" s="129"/>
    </row>
    <row r="270">
      <c r="B270" s="129"/>
    </row>
    <row r="271">
      <c r="B271" s="129"/>
    </row>
    <row r="272">
      <c r="B272" s="129"/>
    </row>
    <row r="273">
      <c r="B273" s="129"/>
    </row>
    <row r="274">
      <c r="B274" s="129"/>
    </row>
    <row r="275">
      <c r="B275" s="129"/>
    </row>
    <row r="276">
      <c r="B276" s="129"/>
    </row>
    <row r="277">
      <c r="B277" s="129"/>
    </row>
    <row r="278">
      <c r="B278" s="129"/>
    </row>
    <row r="279">
      <c r="B279" s="129"/>
    </row>
    <row r="280">
      <c r="B280" s="129"/>
    </row>
    <row r="281">
      <c r="B281" s="129"/>
    </row>
    <row r="282">
      <c r="B282" s="129"/>
    </row>
    <row r="283">
      <c r="B283" s="129"/>
    </row>
    <row r="284">
      <c r="B284" s="129"/>
    </row>
    <row r="285">
      <c r="B285" s="129"/>
    </row>
    <row r="286">
      <c r="B286" s="129"/>
    </row>
    <row r="287">
      <c r="B287" s="129"/>
    </row>
    <row r="288">
      <c r="B288" s="129"/>
    </row>
    <row r="289">
      <c r="B289" s="129"/>
    </row>
    <row r="290">
      <c r="B290" s="129"/>
    </row>
    <row r="291">
      <c r="B291" s="129"/>
    </row>
    <row r="292">
      <c r="B292" s="129"/>
    </row>
    <row r="293">
      <c r="B293" s="129"/>
    </row>
    <row r="294">
      <c r="B294" s="129"/>
    </row>
    <row r="295">
      <c r="B295" s="129"/>
    </row>
    <row r="296">
      <c r="B296" s="129"/>
    </row>
    <row r="297">
      <c r="B297" s="129"/>
    </row>
    <row r="298">
      <c r="B298" s="129"/>
    </row>
    <row r="299">
      <c r="B299" s="129"/>
    </row>
    <row r="300">
      <c r="B300" s="129"/>
    </row>
    <row r="301">
      <c r="B301" s="129"/>
    </row>
    <row r="302">
      <c r="B302" s="129"/>
    </row>
    <row r="303">
      <c r="B303" s="129"/>
    </row>
    <row r="304">
      <c r="B304" s="129"/>
    </row>
    <row r="305">
      <c r="B305" s="129"/>
    </row>
    <row r="306">
      <c r="B306" s="129"/>
    </row>
    <row r="307">
      <c r="B307" s="129"/>
    </row>
    <row r="308">
      <c r="B308" s="129"/>
    </row>
    <row r="309">
      <c r="B309" s="129"/>
    </row>
    <row r="310">
      <c r="B310" s="129"/>
    </row>
    <row r="311">
      <c r="B311" s="129"/>
    </row>
    <row r="312">
      <c r="B312" s="129"/>
    </row>
    <row r="313">
      <c r="B313" s="129"/>
    </row>
    <row r="314">
      <c r="B314" s="129"/>
    </row>
    <row r="315">
      <c r="B315" s="129"/>
    </row>
    <row r="316">
      <c r="B316" s="129"/>
    </row>
    <row r="317">
      <c r="B317" s="129"/>
    </row>
    <row r="318">
      <c r="B318" s="129"/>
    </row>
    <row r="319">
      <c r="B319" s="129"/>
    </row>
    <row r="320">
      <c r="B320" s="129"/>
    </row>
    <row r="321">
      <c r="B321" s="129"/>
    </row>
    <row r="322">
      <c r="B322" s="129"/>
    </row>
    <row r="323">
      <c r="B323" s="129"/>
    </row>
    <row r="324">
      <c r="B324" s="129"/>
    </row>
    <row r="325">
      <c r="B325" s="129"/>
    </row>
    <row r="326">
      <c r="B326" s="129"/>
    </row>
    <row r="327">
      <c r="B327" s="129"/>
    </row>
    <row r="328">
      <c r="B328" s="129"/>
    </row>
    <row r="329">
      <c r="B329" s="129"/>
    </row>
    <row r="330">
      <c r="B330" s="129"/>
    </row>
    <row r="331">
      <c r="B331" s="129"/>
    </row>
    <row r="332">
      <c r="B332" s="129"/>
    </row>
    <row r="333">
      <c r="B333" s="129"/>
    </row>
    <row r="334">
      <c r="B334" s="129"/>
    </row>
    <row r="335">
      <c r="B335" s="129"/>
    </row>
    <row r="336">
      <c r="B336" s="129"/>
    </row>
    <row r="337">
      <c r="B337" s="129"/>
    </row>
    <row r="338">
      <c r="B338" s="129"/>
    </row>
    <row r="339">
      <c r="B339" s="129"/>
    </row>
    <row r="340">
      <c r="B340" s="129"/>
    </row>
    <row r="341">
      <c r="B341" s="129"/>
    </row>
    <row r="342">
      <c r="B342" s="129"/>
    </row>
    <row r="343">
      <c r="B343" s="129"/>
    </row>
    <row r="344">
      <c r="B344" s="129"/>
    </row>
    <row r="345">
      <c r="B345" s="129"/>
    </row>
    <row r="346">
      <c r="B346" s="129"/>
    </row>
    <row r="347">
      <c r="B347" s="129"/>
    </row>
    <row r="348">
      <c r="B348" s="129"/>
    </row>
    <row r="349">
      <c r="B349" s="129"/>
    </row>
    <row r="350">
      <c r="B350" s="129"/>
    </row>
    <row r="351">
      <c r="B351" s="129"/>
    </row>
    <row r="352">
      <c r="B352" s="129"/>
    </row>
    <row r="353">
      <c r="B353" s="129"/>
    </row>
    <row r="354">
      <c r="B354" s="129"/>
    </row>
    <row r="355">
      <c r="B355" s="129"/>
    </row>
    <row r="356">
      <c r="B356" s="129"/>
    </row>
    <row r="357">
      <c r="B357" s="129"/>
    </row>
    <row r="358">
      <c r="B358" s="129"/>
    </row>
    <row r="359">
      <c r="B359" s="129"/>
    </row>
    <row r="360">
      <c r="B360" s="129"/>
    </row>
    <row r="361">
      <c r="B361" s="129"/>
    </row>
    <row r="362">
      <c r="B362" s="129"/>
    </row>
    <row r="363">
      <c r="B363" s="129"/>
    </row>
    <row r="364">
      <c r="B364" s="129"/>
    </row>
    <row r="365">
      <c r="B365" s="129"/>
    </row>
    <row r="366">
      <c r="B366" s="129"/>
    </row>
    <row r="367">
      <c r="B367" s="129"/>
    </row>
    <row r="368">
      <c r="B368" s="129"/>
    </row>
    <row r="369">
      <c r="B369" s="129"/>
    </row>
    <row r="370">
      <c r="B370" s="129"/>
    </row>
    <row r="371">
      <c r="B371" s="129"/>
    </row>
    <row r="372">
      <c r="B372" s="129"/>
    </row>
    <row r="373">
      <c r="B373" s="129"/>
    </row>
    <row r="374">
      <c r="B374" s="129"/>
    </row>
    <row r="375">
      <c r="B375" s="129"/>
    </row>
    <row r="376">
      <c r="B376" s="129"/>
    </row>
    <row r="377">
      <c r="B377" s="129"/>
    </row>
    <row r="378">
      <c r="B378" s="129"/>
    </row>
    <row r="379">
      <c r="B379" s="129"/>
    </row>
    <row r="380">
      <c r="B380" s="129"/>
    </row>
    <row r="381">
      <c r="B381" s="129"/>
    </row>
    <row r="382">
      <c r="B382" s="129"/>
    </row>
    <row r="383">
      <c r="B383" s="129"/>
    </row>
    <row r="384">
      <c r="B384" s="129"/>
    </row>
    <row r="385">
      <c r="B385" s="129"/>
    </row>
    <row r="386">
      <c r="B386" s="129"/>
    </row>
    <row r="387">
      <c r="B387" s="129"/>
    </row>
    <row r="388">
      <c r="B388" s="129"/>
    </row>
    <row r="389">
      <c r="B389" s="129"/>
    </row>
    <row r="390">
      <c r="B390" s="129"/>
    </row>
    <row r="391">
      <c r="B391" s="129"/>
    </row>
    <row r="392">
      <c r="B392" s="129"/>
    </row>
    <row r="393">
      <c r="B393" s="129"/>
    </row>
    <row r="394">
      <c r="B394" s="129"/>
    </row>
    <row r="395">
      <c r="B395" s="129"/>
    </row>
    <row r="396">
      <c r="B396" s="129"/>
    </row>
    <row r="397">
      <c r="B397" s="129"/>
    </row>
    <row r="398">
      <c r="B398" s="129"/>
    </row>
    <row r="399">
      <c r="B399" s="129"/>
    </row>
    <row r="400">
      <c r="B400" s="129"/>
    </row>
    <row r="401">
      <c r="B401" s="129"/>
    </row>
    <row r="402">
      <c r="B402" s="129"/>
    </row>
    <row r="403">
      <c r="B403" s="129"/>
    </row>
    <row r="404">
      <c r="B404" s="129"/>
    </row>
    <row r="405">
      <c r="B405" s="129"/>
    </row>
    <row r="406">
      <c r="B406" s="129"/>
    </row>
    <row r="407">
      <c r="B407" s="129"/>
    </row>
    <row r="408">
      <c r="B408" s="129"/>
    </row>
    <row r="409">
      <c r="B409" s="129"/>
    </row>
    <row r="410">
      <c r="B410" s="129"/>
    </row>
    <row r="411">
      <c r="B411" s="129"/>
    </row>
    <row r="412">
      <c r="B412" s="129"/>
    </row>
    <row r="413">
      <c r="B413" s="129"/>
    </row>
    <row r="414">
      <c r="B414" s="129"/>
    </row>
    <row r="415">
      <c r="B415" s="129"/>
    </row>
    <row r="416">
      <c r="B416" s="129"/>
    </row>
    <row r="417">
      <c r="B417" s="129"/>
    </row>
    <row r="418">
      <c r="B418" s="129"/>
    </row>
    <row r="419">
      <c r="B419" s="129"/>
    </row>
    <row r="420">
      <c r="B420" s="129"/>
    </row>
    <row r="421">
      <c r="B421" s="129"/>
    </row>
    <row r="422">
      <c r="B422" s="129"/>
    </row>
    <row r="423">
      <c r="B423" s="129"/>
    </row>
    <row r="424">
      <c r="B424" s="129"/>
    </row>
    <row r="425">
      <c r="B425" s="129"/>
    </row>
    <row r="426">
      <c r="B426" s="129"/>
    </row>
    <row r="427">
      <c r="B427" s="129"/>
    </row>
    <row r="428">
      <c r="B428" s="129"/>
    </row>
    <row r="429">
      <c r="B429" s="129"/>
    </row>
    <row r="430">
      <c r="B430" s="129"/>
    </row>
    <row r="431">
      <c r="B431" s="129"/>
    </row>
    <row r="432">
      <c r="B432" s="129"/>
    </row>
    <row r="433">
      <c r="B433" s="129"/>
    </row>
    <row r="434">
      <c r="B434" s="129"/>
    </row>
    <row r="435">
      <c r="B435" s="129"/>
    </row>
    <row r="436">
      <c r="B436" s="129"/>
    </row>
    <row r="437">
      <c r="B437" s="129"/>
    </row>
    <row r="438">
      <c r="B438" s="129"/>
    </row>
    <row r="439">
      <c r="B439" s="129"/>
    </row>
    <row r="440">
      <c r="B440" s="129"/>
    </row>
    <row r="441">
      <c r="B441" s="129"/>
    </row>
    <row r="442">
      <c r="B442" s="129"/>
    </row>
    <row r="443">
      <c r="B443" s="129"/>
    </row>
    <row r="444">
      <c r="B444" s="129"/>
    </row>
    <row r="445">
      <c r="B445" s="129"/>
    </row>
    <row r="446">
      <c r="B446" s="129"/>
    </row>
    <row r="447">
      <c r="B447" s="129"/>
    </row>
    <row r="448">
      <c r="B448" s="129"/>
    </row>
    <row r="449">
      <c r="B449" s="129"/>
    </row>
    <row r="450">
      <c r="B450" s="129"/>
    </row>
    <row r="451">
      <c r="B451" s="129"/>
    </row>
    <row r="452">
      <c r="B452" s="129"/>
    </row>
    <row r="453">
      <c r="B453" s="129"/>
    </row>
    <row r="454">
      <c r="B454" s="129"/>
    </row>
    <row r="455">
      <c r="B455" s="129"/>
    </row>
    <row r="456">
      <c r="B456" s="129"/>
    </row>
    <row r="457">
      <c r="B457" s="129"/>
    </row>
    <row r="458">
      <c r="B458" s="129"/>
    </row>
    <row r="459">
      <c r="B459" s="129"/>
    </row>
    <row r="460">
      <c r="B460" s="129"/>
    </row>
    <row r="461">
      <c r="B461" s="129"/>
    </row>
    <row r="462">
      <c r="B462" s="129"/>
    </row>
    <row r="463">
      <c r="B463" s="129"/>
    </row>
    <row r="464">
      <c r="B464" s="129"/>
    </row>
    <row r="465">
      <c r="B465" s="129"/>
    </row>
    <row r="466">
      <c r="B466" s="129"/>
    </row>
    <row r="467">
      <c r="B467" s="129"/>
    </row>
    <row r="468">
      <c r="B468" s="129"/>
    </row>
    <row r="469">
      <c r="B469" s="129"/>
    </row>
    <row r="470">
      <c r="B470" s="129"/>
    </row>
    <row r="471">
      <c r="B471" s="129"/>
    </row>
    <row r="472">
      <c r="B472" s="129"/>
    </row>
    <row r="473">
      <c r="B473" s="129"/>
    </row>
    <row r="474">
      <c r="B474" s="129"/>
    </row>
    <row r="475">
      <c r="B475" s="129"/>
    </row>
    <row r="476">
      <c r="B476" s="129"/>
    </row>
    <row r="477">
      <c r="B477" s="129"/>
    </row>
    <row r="478">
      <c r="B478" s="129"/>
    </row>
    <row r="479">
      <c r="B479" s="129"/>
    </row>
    <row r="480">
      <c r="B480" s="129"/>
    </row>
    <row r="481">
      <c r="B481" s="129"/>
    </row>
    <row r="482">
      <c r="B482" s="129"/>
    </row>
    <row r="483">
      <c r="B483" s="129"/>
    </row>
    <row r="484">
      <c r="B484" s="129"/>
    </row>
    <row r="485">
      <c r="B485" s="129"/>
    </row>
    <row r="486">
      <c r="B486" s="129"/>
    </row>
    <row r="487">
      <c r="B487" s="129"/>
    </row>
    <row r="488">
      <c r="B488" s="129"/>
    </row>
    <row r="489">
      <c r="B489" s="129"/>
    </row>
    <row r="490">
      <c r="B490" s="129"/>
    </row>
    <row r="491">
      <c r="B491" s="129"/>
    </row>
    <row r="492">
      <c r="B492" s="129"/>
    </row>
    <row r="493">
      <c r="B493" s="129"/>
    </row>
    <row r="494">
      <c r="B494" s="129"/>
    </row>
    <row r="495">
      <c r="B495" s="129"/>
    </row>
    <row r="496">
      <c r="B496" s="129"/>
    </row>
    <row r="497">
      <c r="B497" s="129"/>
    </row>
    <row r="498">
      <c r="B498" s="129"/>
    </row>
    <row r="499">
      <c r="B499" s="129"/>
    </row>
    <row r="500">
      <c r="B500" s="129"/>
    </row>
    <row r="501">
      <c r="B501" s="129"/>
    </row>
    <row r="502">
      <c r="B502" s="129"/>
    </row>
    <row r="503">
      <c r="B503" s="129"/>
    </row>
    <row r="504">
      <c r="B504" s="129"/>
    </row>
    <row r="505">
      <c r="B505" s="129"/>
    </row>
    <row r="506">
      <c r="B506" s="129"/>
    </row>
    <row r="507">
      <c r="B507" s="129"/>
    </row>
    <row r="508">
      <c r="B508" s="129"/>
    </row>
    <row r="509">
      <c r="B509" s="129"/>
    </row>
    <row r="510">
      <c r="B510" s="129"/>
    </row>
    <row r="511">
      <c r="B511" s="129"/>
    </row>
    <row r="512">
      <c r="B512" s="129"/>
    </row>
    <row r="513">
      <c r="B513" s="129"/>
    </row>
    <row r="514">
      <c r="B514" s="129"/>
    </row>
    <row r="515">
      <c r="B515" s="129"/>
    </row>
    <row r="516">
      <c r="B516" s="129"/>
    </row>
    <row r="517">
      <c r="B517" s="129"/>
    </row>
    <row r="518">
      <c r="B518" s="129"/>
    </row>
    <row r="519">
      <c r="B519" s="129"/>
    </row>
    <row r="520">
      <c r="B520" s="129"/>
    </row>
    <row r="521">
      <c r="B521" s="129"/>
    </row>
    <row r="522">
      <c r="B522" s="129"/>
    </row>
    <row r="523">
      <c r="B523" s="129"/>
    </row>
    <row r="524">
      <c r="B524" s="129"/>
    </row>
    <row r="525">
      <c r="B525" s="129"/>
    </row>
    <row r="526">
      <c r="B526" s="129"/>
    </row>
    <row r="527">
      <c r="B527" s="129"/>
    </row>
    <row r="528">
      <c r="B528" s="129"/>
    </row>
    <row r="529">
      <c r="B529" s="129"/>
    </row>
    <row r="530">
      <c r="B530" s="129"/>
    </row>
    <row r="531">
      <c r="B531" s="129"/>
    </row>
    <row r="532">
      <c r="B532" s="129"/>
    </row>
    <row r="533">
      <c r="B533" s="129"/>
    </row>
    <row r="534">
      <c r="B534" s="129"/>
    </row>
    <row r="535">
      <c r="B535" s="129"/>
    </row>
    <row r="536">
      <c r="B536" s="129"/>
    </row>
    <row r="537">
      <c r="B537" s="129"/>
    </row>
    <row r="538">
      <c r="B538" s="129"/>
    </row>
    <row r="539">
      <c r="B539" s="129"/>
    </row>
    <row r="540">
      <c r="B540" s="129"/>
    </row>
    <row r="541">
      <c r="B541" s="129"/>
    </row>
    <row r="542">
      <c r="B542" s="129"/>
    </row>
    <row r="543">
      <c r="B543" s="129"/>
    </row>
    <row r="544">
      <c r="B544" s="129"/>
    </row>
    <row r="545">
      <c r="B545" s="129"/>
    </row>
    <row r="546">
      <c r="B546" s="129"/>
    </row>
    <row r="547">
      <c r="B547" s="129"/>
    </row>
    <row r="548">
      <c r="B548" s="129"/>
    </row>
    <row r="549">
      <c r="B549" s="129"/>
    </row>
    <row r="550">
      <c r="B550" s="129"/>
    </row>
    <row r="551">
      <c r="B551" s="129"/>
    </row>
    <row r="552">
      <c r="B552" s="129"/>
    </row>
    <row r="553">
      <c r="B553" s="129"/>
    </row>
    <row r="554">
      <c r="B554" s="129"/>
    </row>
    <row r="555">
      <c r="B555" s="129"/>
    </row>
    <row r="556">
      <c r="B556" s="129"/>
    </row>
    <row r="557">
      <c r="B557" s="129"/>
    </row>
    <row r="558">
      <c r="B558" s="129"/>
    </row>
    <row r="559">
      <c r="B559" s="129"/>
    </row>
    <row r="560">
      <c r="B560" s="129"/>
    </row>
    <row r="561">
      <c r="B561" s="129"/>
    </row>
    <row r="562">
      <c r="B562" s="129"/>
    </row>
    <row r="563">
      <c r="B563" s="129"/>
    </row>
    <row r="564">
      <c r="B564" s="129"/>
    </row>
    <row r="565">
      <c r="B565" s="129"/>
    </row>
    <row r="566">
      <c r="B566" s="129"/>
    </row>
    <row r="567">
      <c r="B567" s="129"/>
    </row>
    <row r="568">
      <c r="B568" s="129"/>
    </row>
    <row r="569">
      <c r="B569" s="129"/>
    </row>
    <row r="570">
      <c r="B570" s="129"/>
    </row>
    <row r="571">
      <c r="B571" s="129"/>
    </row>
    <row r="572">
      <c r="B572" s="129"/>
    </row>
    <row r="573">
      <c r="B573" s="129"/>
    </row>
    <row r="574">
      <c r="B574" s="129"/>
    </row>
    <row r="575">
      <c r="B575" s="129"/>
    </row>
    <row r="576">
      <c r="B576" s="129"/>
    </row>
    <row r="577">
      <c r="B577" s="129"/>
    </row>
    <row r="578">
      <c r="B578" s="129"/>
    </row>
    <row r="579">
      <c r="B579" s="129"/>
    </row>
    <row r="580">
      <c r="B580" s="129"/>
    </row>
    <row r="581">
      <c r="B581" s="129"/>
    </row>
    <row r="582">
      <c r="B582" s="129"/>
    </row>
    <row r="583">
      <c r="B583" s="129"/>
    </row>
    <row r="584">
      <c r="B584" s="129"/>
    </row>
    <row r="585">
      <c r="B585" s="129"/>
    </row>
    <row r="586">
      <c r="B586" s="129"/>
    </row>
    <row r="587">
      <c r="B587" s="129"/>
    </row>
    <row r="588">
      <c r="B588" s="129"/>
    </row>
    <row r="589">
      <c r="B589" s="129"/>
    </row>
    <row r="590">
      <c r="B590" s="129"/>
    </row>
    <row r="591">
      <c r="B591" s="129"/>
    </row>
    <row r="592">
      <c r="B592" s="129"/>
    </row>
    <row r="593">
      <c r="B593" s="129"/>
    </row>
    <row r="594">
      <c r="B594" s="129"/>
    </row>
    <row r="595">
      <c r="B595" s="129"/>
    </row>
    <row r="596">
      <c r="B596" s="129"/>
    </row>
    <row r="597">
      <c r="B597" s="129"/>
    </row>
    <row r="598">
      <c r="B598" s="129"/>
    </row>
    <row r="599">
      <c r="B599" s="129"/>
    </row>
    <row r="600">
      <c r="B600" s="129"/>
    </row>
    <row r="601">
      <c r="B601" s="129"/>
    </row>
    <row r="602">
      <c r="B602" s="129"/>
    </row>
    <row r="603">
      <c r="B603" s="129"/>
    </row>
    <row r="604">
      <c r="B604" s="129"/>
    </row>
    <row r="605">
      <c r="B605" s="129"/>
    </row>
    <row r="606">
      <c r="B606" s="129"/>
    </row>
    <row r="607">
      <c r="B607" s="129"/>
    </row>
    <row r="608">
      <c r="B608" s="129"/>
    </row>
    <row r="609">
      <c r="B609" s="129"/>
    </row>
    <row r="610">
      <c r="B610" s="129"/>
    </row>
    <row r="611">
      <c r="B611" s="129"/>
    </row>
    <row r="612">
      <c r="B612" s="129"/>
    </row>
    <row r="613">
      <c r="B613" s="129"/>
    </row>
    <row r="614">
      <c r="B614" s="129"/>
    </row>
    <row r="615">
      <c r="B615" s="129"/>
    </row>
    <row r="616">
      <c r="B616" s="129"/>
    </row>
    <row r="617">
      <c r="B617" s="129"/>
    </row>
    <row r="618">
      <c r="B618" s="129"/>
    </row>
    <row r="619">
      <c r="B619" s="129"/>
    </row>
    <row r="620">
      <c r="B620" s="129"/>
    </row>
    <row r="621">
      <c r="B621" s="129"/>
    </row>
    <row r="622">
      <c r="B622" s="129"/>
    </row>
    <row r="623">
      <c r="B623" s="129"/>
    </row>
    <row r="624">
      <c r="B624" s="129"/>
    </row>
    <row r="625">
      <c r="B625" s="129"/>
    </row>
    <row r="626">
      <c r="B626" s="129"/>
    </row>
    <row r="627">
      <c r="B627" s="129"/>
    </row>
    <row r="628">
      <c r="B628" s="129"/>
    </row>
    <row r="629">
      <c r="B629" s="129"/>
    </row>
    <row r="630">
      <c r="B630" s="129"/>
    </row>
    <row r="631">
      <c r="B631" s="129"/>
    </row>
    <row r="632">
      <c r="B632" s="129"/>
    </row>
    <row r="633">
      <c r="B633" s="129"/>
    </row>
    <row r="634">
      <c r="B634" s="129"/>
    </row>
    <row r="635">
      <c r="B635" s="129"/>
    </row>
    <row r="636">
      <c r="B636" s="129"/>
    </row>
    <row r="637">
      <c r="B637" s="129"/>
    </row>
    <row r="638">
      <c r="B638" s="129"/>
    </row>
    <row r="639">
      <c r="B639" s="129"/>
    </row>
    <row r="640">
      <c r="B640" s="129"/>
    </row>
    <row r="641">
      <c r="B641" s="129"/>
    </row>
    <row r="642">
      <c r="B642" s="129"/>
    </row>
    <row r="643">
      <c r="B643" s="129"/>
    </row>
    <row r="644">
      <c r="B644" s="129"/>
    </row>
    <row r="645">
      <c r="B645" s="129"/>
    </row>
    <row r="646">
      <c r="B646" s="129"/>
    </row>
    <row r="647">
      <c r="B647" s="129"/>
    </row>
    <row r="648">
      <c r="B648" s="129"/>
    </row>
    <row r="649">
      <c r="B649" s="129"/>
    </row>
    <row r="650">
      <c r="B650" s="129"/>
    </row>
    <row r="651">
      <c r="B651" s="129"/>
    </row>
    <row r="652">
      <c r="B652" s="129"/>
    </row>
    <row r="653">
      <c r="B653" s="129"/>
    </row>
    <row r="654">
      <c r="B654" s="129"/>
    </row>
    <row r="655">
      <c r="B655" s="129"/>
    </row>
    <row r="656">
      <c r="B656" s="129"/>
    </row>
    <row r="657">
      <c r="B657" s="129"/>
    </row>
    <row r="658">
      <c r="B658" s="129"/>
    </row>
    <row r="659">
      <c r="B659" s="129"/>
    </row>
    <row r="660">
      <c r="B660" s="129"/>
    </row>
    <row r="661">
      <c r="B661" s="129"/>
    </row>
    <row r="662">
      <c r="B662" s="129"/>
    </row>
    <row r="663">
      <c r="B663" s="129"/>
    </row>
    <row r="664">
      <c r="B664" s="129"/>
    </row>
    <row r="665">
      <c r="B665" s="129"/>
    </row>
    <row r="666">
      <c r="B666" s="129"/>
    </row>
    <row r="667">
      <c r="B667" s="129"/>
    </row>
    <row r="668">
      <c r="B668" s="129"/>
    </row>
    <row r="669">
      <c r="B669" s="129"/>
    </row>
    <row r="670">
      <c r="B670" s="129"/>
    </row>
    <row r="671">
      <c r="B671" s="129"/>
    </row>
    <row r="672">
      <c r="B672" s="129"/>
    </row>
    <row r="673">
      <c r="B673" s="129"/>
    </row>
    <row r="674">
      <c r="B674" s="129"/>
    </row>
    <row r="675">
      <c r="B675" s="129"/>
    </row>
    <row r="676">
      <c r="B676" s="129"/>
    </row>
    <row r="677">
      <c r="B677" s="129"/>
    </row>
    <row r="678">
      <c r="B678" s="129"/>
    </row>
    <row r="679">
      <c r="B679" s="129"/>
    </row>
    <row r="680">
      <c r="B680" s="129"/>
    </row>
    <row r="681">
      <c r="B681" s="129"/>
    </row>
    <row r="682">
      <c r="B682" s="129"/>
    </row>
    <row r="683">
      <c r="B683" s="129"/>
    </row>
    <row r="684">
      <c r="B684" s="129"/>
    </row>
    <row r="685">
      <c r="B685" s="129"/>
    </row>
    <row r="686">
      <c r="B686" s="129"/>
    </row>
    <row r="687">
      <c r="B687" s="129"/>
    </row>
    <row r="688">
      <c r="B688" s="129"/>
    </row>
    <row r="689">
      <c r="B689" s="129"/>
    </row>
    <row r="690">
      <c r="B690" s="129"/>
    </row>
    <row r="691">
      <c r="B691" s="129"/>
    </row>
    <row r="692">
      <c r="B692" s="129"/>
    </row>
    <row r="693">
      <c r="B693" s="129"/>
    </row>
    <row r="694">
      <c r="B694" s="129"/>
    </row>
    <row r="695">
      <c r="B695" s="129"/>
    </row>
    <row r="696">
      <c r="B696" s="129"/>
    </row>
    <row r="697">
      <c r="B697" s="129"/>
    </row>
    <row r="698">
      <c r="B698" s="129"/>
    </row>
    <row r="699">
      <c r="B699" s="129"/>
    </row>
    <row r="700">
      <c r="B700" s="129"/>
    </row>
    <row r="701">
      <c r="B701" s="129"/>
    </row>
    <row r="702">
      <c r="B702" s="129"/>
    </row>
    <row r="703">
      <c r="B703" s="129"/>
    </row>
    <row r="704">
      <c r="B704" s="129"/>
    </row>
    <row r="705">
      <c r="B705" s="129"/>
    </row>
    <row r="706">
      <c r="B706" s="129"/>
    </row>
    <row r="707">
      <c r="B707" s="129"/>
    </row>
    <row r="708">
      <c r="B708" s="129"/>
    </row>
    <row r="709">
      <c r="B709" s="129"/>
    </row>
    <row r="710">
      <c r="B710" s="129"/>
    </row>
    <row r="711">
      <c r="B711" s="129"/>
    </row>
    <row r="712">
      <c r="B712" s="129"/>
    </row>
    <row r="713">
      <c r="B713" s="129"/>
    </row>
    <row r="714">
      <c r="B714" s="129"/>
    </row>
    <row r="715">
      <c r="B715" s="129"/>
    </row>
    <row r="716">
      <c r="B716" s="129"/>
    </row>
    <row r="717">
      <c r="B717" s="129"/>
    </row>
    <row r="718">
      <c r="B718" s="129"/>
    </row>
    <row r="719">
      <c r="B719" s="129"/>
    </row>
    <row r="720">
      <c r="B720" s="129"/>
    </row>
    <row r="721">
      <c r="B721" s="129"/>
    </row>
    <row r="722">
      <c r="B722" s="129"/>
    </row>
    <row r="723">
      <c r="B723" s="129"/>
    </row>
    <row r="724">
      <c r="B724" s="129"/>
    </row>
    <row r="725">
      <c r="B725" s="129"/>
    </row>
    <row r="726">
      <c r="B726" s="129"/>
    </row>
    <row r="727">
      <c r="B727" s="129"/>
    </row>
    <row r="728">
      <c r="B728" s="129"/>
    </row>
    <row r="729">
      <c r="B729" s="129"/>
    </row>
    <row r="730">
      <c r="B730" s="129"/>
    </row>
    <row r="731">
      <c r="B731" s="129"/>
    </row>
    <row r="732">
      <c r="B732" s="129"/>
    </row>
    <row r="733">
      <c r="B733" s="129"/>
    </row>
    <row r="734">
      <c r="B734" s="129"/>
    </row>
    <row r="735">
      <c r="B735" s="129"/>
    </row>
    <row r="736">
      <c r="B736" s="129"/>
    </row>
    <row r="737">
      <c r="B737" s="129"/>
    </row>
    <row r="738">
      <c r="B738" s="129"/>
    </row>
    <row r="739">
      <c r="B739" s="129"/>
    </row>
    <row r="740">
      <c r="B740" s="129"/>
    </row>
    <row r="741">
      <c r="B741" s="129"/>
    </row>
    <row r="742">
      <c r="B742" s="129"/>
    </row>
    <row r="743">
      <c r="B743" s="129"/>
    </row>
    <row r="744">
      <c r="B744" s="129"/>
    </row>
    <row r="745">
      <c r="B745" s="129"/>
    </row>
    <row r="746">
      <c r="B746" s="129"/>
    </row>
    <row r="747">
      <c r="B747" s="129"/>
    </row>
    <row r="748">
      <c r="B748" s="129"/>
    </row>
    <row r="749">
      <c r="B749" s="129"/>
    </row>
    <row r="750">
      <c r="B750" s="129"/>
    </row>
    <row r="751">
      <c r="B751" s="129"/>
    </row>
    <row r="752">
      <c r="B752" s="129"/>
    </row>
    <row r="753">
      <c r="B753" s="129"/>
    </row>
    <row r="754">
      <c r="B754" s="129"/>
    </row>
    <row r="755">
      <c r="B755" s="129"/>
    </row>
    <row r="756">
      <c r="B756" s="129"/>
    </row>
    <row r="757">
      <c r="B757" s="129"/>
    </row>
    <row r="758">
      <c r="B758" s="129"/>
    </row>
    <row r="759">
      <c r="B759" s="129"/>
    </row>
    <row r="760">
      <c r="B760" s="129"/>
    </row>
    <row r="761">
      <c r="B761" s="129"/>
    </row>
    <row r="762">
      <c r="B762" s="129"/>
    </row>
    <row r="763">
      <c r="B763" s="129"/>
    </row>
    <row r="764">
      <c r="B764" s="129"/>
    </row>
    <row r="765">
      <c r="B765" s="129"/>
    </row>
    <row r="766">
      <c r="B766" s="129"/>
    </row>
    <row r="767">
      <c r="B767" s="129"/>
    </row>
    <row r="768">
      <c r="B768" s="129"/>
    </row>
    <row r="769">
      <c r="B769" s="129"/>
    </row>
    <row r="770">
      <c r="B770" s="129"/>
    </row>
    <row r="771">
      <c r="B771" s="129"/>
    </row>
    <row r="772">
      <c r="B772" s="129"/>
    </row>
    <row r="773">
      <c r="B773" s="129"/>
    </row>
    <row r="774">
      <c r="B774" s="129"/>
    </row>
    <row r="775">
      <c r="B775" s="129"/>
    </row>
    <row r="776">
      <c r="B776" s="129"/>
    </row>
    <row r="777">
      <c r="B777" s="129"/>
    </row>
    <row r="778">
      <c r="B778" s="129"/>
    </row>
    <row r="779">
      <c r="B779" s="129"/>
    </row>
    <row r="780">
      <c r="B780" s="129"/>
    </row>
    <row r="781">
      <c r="B781" s="129"/>
    </row>
    <row r="782">
      <c r="B782" s="129"/>
    </row>
    <row r="783">
      <c r="B783" s="129"/>
    </row>
    <row r="784">
      <c r="B784" s="129"/>
    </row>
    <row r="785">
      <c r="B785" s="129"/>
    </row>
    <row r="786">
      <c r="B786" s="129"/>
    </row>
    <row r="787">
      <c r="B787" s="129"/>
    </row>
    <row r="788">
      <c r="B788" s="129"/>
    </row>
    <row r="789">
      <c r="B789" s="129"/>
    </row>
    <row r="790">
      <c r="B790" s="129"/>
    </row>
    <row r="791">
      <c r="B791" s="129"/>
    </row>
    <row r="792">
      <c r="B792" s="129"/>
    </row>
    <row r="793">
      <c r="B793" s="129"/>
    </row>
    <row r="794">
      <c r="B794" s="129"/>
    </row>
    <row r="795">
      <c r="B795" s="129"/>
    </row>
    <row r="796">
      <c r="B796" s="129"/>
    </row>
    <row r="797">
      <c r="B797" s="129"/>
    </row>
    <row r="798">
      <c r="B798" s="129"/>
    </row>
    <row r="799">
      <c r="B799" s="129"/>
    </row>
    <row r="800">
      <c r="B800" s="129"/>
    </row>
    <row r="801">
      <c r="B801" s="129"/>
    </row>
    <row r="802">
      <c r="B802" s="129"/>
    </row>
    <row r="803">
      <c r="B803" s="129"/>
    </row>
    <row r="804">
      <c r="B804" s="129"/>
    </row>
    <row r="805">
      <c r="B805" s="129"/>
    </row>
    <row r="806">
      <c r="B806" s="129"/>
    </row>
    <row r="807">
      <c r="B807" s="129"/>
    </row>
    <row r="808">
      <c r="B808" s="129"/>
    </row>
    <row r="809">
      <c r="B809" s="129"/>
    </row>
    <row r="810">
      <c r="B810" s="129"/>
    </row>
    <row r="811">
      <c r="B811" s="129"/>
    </row>
    <row r="812">
      <c r="B812" s="129"/>
    </row>
    <row r="813">
      <c r="B813" s="129"/>
    </row>
    <row r="814">
      <c r="B814" s="129"/>
    </row>
    <row r="815">
      <c r="B815" s="129"/>
    </row>
    <row r="816">
      <c r="B816" s="129"/>
    </row>
    <row r="817">
      <c r="B817" s="129"/>
    </row>
    <row r="818">
      <c r="B818" s="129"/>
    </row>
    <row r="819">
      <c r="B819" s="129"/>
    </row>
    <row r="820">
      <c r="B820" s="129"/>
    </row>
    <row r="821">
      <c r="B821" s="129"/>
    </row>
    <row r="822">
      <c r="B822" s="129"/>
    </row>
    <row r="823">
      <c r="B823" s="129"/>
    </row>
    <row r="824">
      <c r="B824" s="129"/>
    </row>
    <row r="825">
      <c r="B825" s="129"/>
    </row>
    <row r="826">
      <c r="B826" s="129"/>
    </row>
    <row r="827">
      <c r="B827" s="129"/>
    </row>
    <row r="828">
      <c r="B828" s="129"/>
    </row>
    <row r="829">
      <c r="B829" s="129"/>
    </row>
    <row r="830">
      <c r="B830" s="129"/>
    </row>
    <row r="831">
      <c r="B831" s="129"/>
    </row>
    <row r="832">
      <c r="B832" s="129"/>
    </row>
    <row r="833">
      <c r="B833" s="129"/>
    </row>
    <row r="834">
      <c r="B834" s="129"/>
    </row>
    <row r="835">
      <c r="B835" s="129"/>
    </row>
    <row r="836">
      <c r="B836" s="129"/>
    </row>
    <row r="837">
      <c r="B837" s="129"/>
    </row>
    <row r="838">
      <c r="B838" s="129"/>
    </row>
    <row r="839">
      <c r="B839" s="129"/>
    </row>
    <row r="840">
      <c r="B840" s="129"/>
    </row>
    <row r="841">
      <c r="B841" s="129"/>
    </row>
    <row r="842">
      <c r="B842" s="129"/>
    </row>
    <row r="843">
      <c r="B843" s="129"/>
    </row>
    <row r="844">
      <c r="B844" s="129"/>
    </row>
    <row r="845">
      <c r="B845" s="129"/>
    </row>
    <row r="846">
      <c r="B846" s="129"/>
    </row>
    <row r="847">
      <c r="B847" s="129"/>
    </row>
    <row r="848">
      <c r="B848" s="129"/>
    </row>
    <row r="849">
      <c r="B849" s="129"/>
    </row>
    <row r="850">
      <c r="B850" s="129"/>
    </row>
    <row r="851">
      <c r="B851" s="129"/>
    </row>
    <row r="852">
      <c r="B852" s="129"/>
    </row>
    <row r="853">
      <c r="B853" s="129"/>
    </row>
    <row r="854">
      <c r="B854" s="129"/>
    </row>
    <row r="855">
      <c r="B855" s="129"/>
    </row>
    <row r="856">
      <c r="B856" s="129"/>
    </row>
    <row r="857">
      <c r="B857" s="129"/>
    </row>
    <row r="858">
      <c r="B858" s="129"/>
    </row>
    <row r="859">
      <c r="B859" s="129"/>
    </row>
    <row r="860">
      <c r="B860" s="129"/>
    </row>
    <row r="861">
      <c r="B861" s="129"/>
    </row>
    <row r="862">
      <c r="B862" s="129"/>
    </row>
    <row r="863">
      <c r="B863" s="129"/>
    </row>
    <row r="864">
      <c r="B864" s="129"/>
    </row>
    <row r="865">
      <c r="B865" s="129"/>
    </row>
    <row r="866">
      <c r="B866" s="129"/>
    </row>
    <row r="867">
      <c r="B867" s="129"/>
    </row>
    <row r="868">
      <c r="B868" s="129"/>
    </row>
    <row r="869">
      <c r="B869" s="129"/>
    </row>
    <row r="870">
      <c r="B870" s="129"/>
    </row>
    <row r="871">
      <c r="B871" s="129"/>
    </row>
    <row r="872">
      <c r="B872" s="129"/>
    </row>
    <row r="873">
      <c r="B873" s="129"/>
    </row>
    <row r="874">
      <c r="B874" s="129"/>
    </row>
    <row r="875">
      <c r="B875" s="129"/>
    </row>
    <row r="876">
      <c r="B876" s="129"/>
    </row>
    <row r="877">
      <c r="B877" s="129"/>
    </row>
    <row r="878">
      <c r="B878" s="129"/>
    </row>
    <row r="879">
      <c r="B879" s="129"/>
    </row>
    <row r="880">
      <c r="B880" s="129"/>
    </row>
    <row r="881">
      <c r="B881" s="129"/>
    </row>
    <row r="882">
      <c r="B882" s="129"/>
    </row>
    <row r="883">
      <c r="B883" s="129"/>
    </row>
    <row r="884">
      <c r="B884" s="129"/>
    </row>
    <row r="885">
      <c r="B885" s="129"/>
    </row>
    <row r="886">
      <c r="B886" s="129"/>
    </row>
    <row r="887">
      <c r="B887" s="129"/>
    </row>
    <row r="888">
      <c r="B888" s="129"/>
    </row>
    <row r="889">
      <c r="B889" s="129"/>
    </row>
    <row r="890">
      <c r="B890" s="129"/>
    </row>
    <row r="891">
      <c r="B891" s="129"/>
    </row>
    <row r="892">
      <c r="B892" s="129"/>
    </row>
    <row r="893">
      <c r="B893" s="129"/>
    </row>
    <row r="894">
      <c r="B894" s="129"/>
    </row>
    <row r="895">
      <c r="B895" s="129"/>
    </row>
    <row r="896">
      <c r="B896" s="129"/>
    </row>
    <row r="897">
      <c r="B897" s="129"/>
    </row>
    <row r="898">
      <c r="B898" s="129"/>
    </row>
    <row r="899">
      <c r="B899" s="129"/>
    </row>
    <row r="900">
      <c r="B900" s="129"/>
    </row>
    <row r="901">
      <c r="B901" s="129"/>
    </row>
    <row r="902">
      <c r="B902" s="129"/>
    </row>
    <row r="903">
      <c r="B903" s="129"/>
    </row>
    <row r="904">
      <c r="B904" s="129"/>
    </row>
    <row r="905">
      <c r="B905" s="129"/>
    </row>
    <row r="906">
      <c r="B906" s="129"/>
    </row>
    <row r="907">
      <c r="B907" s="129"/>
    </row>
    <row r="908">
      <c r="B908" s="129"/>
    </row>
    <row r="909">
      <c r="B909" s="129"/>
    </row>
    <row r="910">
      <c r="B910" s="129"/>
    </row>
    <row r="911">
      <c r="B911" s="129"/>
    </row>
    <row r="912">
      <c r="B912" s="129"/>
    </row>
    <row r="913">
      <c r="B913" s="129"/>
    </row>
    <row r="914">
      <c r="B914" s="129"/>
    </row>
    <row r="915">
      <c r="B915" s="129"/>
    </row>
    <row r="916">
      <c r="B916" s="129"/>
    </row>
    <row r="917">
      <c r="B917" s="129"/>
    </row>
    <row r="918">
      <c r="B918" s="129"/>
    </row>
    <row r="919">
      <c r="B919" s="129"/>
    </row>
    <row r="920">
      <c r="B920" s="129"/>
    </row>
    <row r="921">
      <c r="B921" s="129"/>
    </row>
    <row r="922">
      <c r="B922" s="129"/>
    </row>
    <row r="923">
      <c r="B923" s="129"/>
    </row>
    <row r="924">
      <c r="B924" s="129"/>
    </row>
    <row r="925">
      <c r="B925" s="129"/>
    </row>
    <row r="926">
      <c r="B926" s="129"/>
    </row>
    <row r="927">
      <c r="B927" s="129"/>
    </row>
    <row r="928">
      <c r="B928" s="129"/>
    </row>
    <row r="929">
      <c r="B929" s="129"/>
    </row>
    <row r="930">
      <c r="B930" s="129"/>
    </row>
    <row r="931">
      <c r="B931" s="129"/>
    </row>
    <row r="932">
      <c r="B932" s="129"/>
    </row>
    <row r="933">
      <c r="B933" s="129"/>
    </row>
    <row r="934">
      <c r="B934" s="129"/>
    </row>
    <row r="935">
      <c r="B935" s="129"/>
    </row>
    <row r="936">
      <c r="B936" s="129"/>
    </row>
    <row r="937">
      <c r="B937" s="129"/>
    </row>
    <row r="938">
      <c r="B938" s="129"/>
    </row>
    <row r="939">
      <c r="B939" s="129"/>
    </row>
    <row r="940">
      <c r="B940" s="129"/>
    </row>
    <row r="941">
      <c r="B941" s="129"/>
    </row>
    <row r="942">
      <c r="B942" s="129"/>
    </row>
    <row r="943">
      <c r="B943" s="129"/>
    </row>
    <row r="944">
      <c r="B944" s="129"/>
    </row>
    <row r="945">
      <c r="B945" s="129"/>
    </row>
    <row r="946">
      <c r="B946" s="129"/>
    </row>
    <row r="947">
      <c r="B947" s="129"/>
    </row>
    <row r="948">
      <c r="B948" s="129"/>
    </row>
    <row r="949">
      <c r="B949" s="129"/>
    </row>
    <row r="950">
      <c r="B950" s="129"/>
    </row>
    <row r="951">
      <c r="B951" s="129"/>
    </row>
    <row r="952">
      <c r="B952" s="129"/>
    </row>
    <row r="953">
      <c r="B953" s="129"/>
    </row>
    <row r="954">
      <c r="B954" s="129"/>
    </row>
    <row r="955">
      <c r="B955" s="129"/>
    </row>
    <row r="956">
      <c r="B956" s="129"/>
    </row>
    <row r="957">
      <c r="B957" s="129"/>
    </row>
    <row r="958">
      <c r="B958" s="129"/>
    </row>
    <row r="959">
      <c r="B959" s="129"/>
    </row>
    <row r="960">
      <c r="B960" s="129"/>
    </row>
    <row r="961">
      <c r="B961" s="129"/>
    </row>
    <row r="962">
      <c r="B962" s="129"/>
    </row>
    <row r="963">
      <c r="B963" s="129"/>
    </row>
    <row r="964">
      <c r="B964" s="129"/>
    </row>
    <row r="965">
      <c r="B965" s="129"/>
    </row>
    <row r="966">
      <c r="B966" s="129"/>
    </row>
    <row r="967">
      <c r="B967" s="129"/>
    </row>
    <row r="968">
      <c r="B968" s="129"/>
    </row>
    <row r="969">
      <c r="B969" s="129"/>
    </row>
    <row r="970">
      <c r="B970" s="129"/>
    </row>
    <row r="971">
      <c r="B971" s="129"/>
    </row>
    <row r="972">
      <c r="B972" s="129"/>
    </row>
    <row r="973">
      <c r="B973" s="129"/>
    </row>
    <row r="974">
      <c r="B974" s="129"/>
    </row>
    <row r="975">
      <c r="B975" s="129"/>
    </row>
    <row r="976">
      <c r="B976" s="129"/>
    </row>
    <row r="977">
      <c r="B977" s="129"/>
    </row>
    <row r="978">
      <c r="B978" s="129"/>
    </row>
    <row r="979">
      <c r="B979" s="129"/>
    </row>
    <row r="980">
      <c r="B980" s="129"/>
    </row>
    <row r="981">
      <c r="B981" s="129"/>
    </row>
    <row r="982">
      <c r="B982" s="129"/>
    </row>
    <row r="983">
      <c r="B983" s="129"/>
    </row>
    <row r="984">
      <c r="B984" s="129"/>
    </row>
    <row r="985">
      <c r="B985" s="129"/>
    </row>
    <row r="986">
      <c r="B986" s="129"/>
    </row>
    <row r="987">
      <c r="B987" s="129"/>
    </row>
    <row r="988">
      <c r="B988" s="129"/>
    </row>
    <row r="989">
      <c r="B989" s="129"/>
    </row>
    <row r="990">
      <c r="B990" s="129"/>
    </row>
    <row r="991">
      <c r="B991" s="129"/>
    </row>
    <row r="992">
      <c r="B992" s="129"/>
    </row>
    <row r="993">
      <c r="B993" s="129"/>
    </row>
    <row r="994">
      <c r="B994" s="129"/>
    </row>
    <row r="995">
      <c r="B995" s="129"/>
    </row>
    <row r="996">
      <c r="B996" s="129"/>
    </row>
    <row r="997">
      <c r="B997" s="129"/>
    </row>
    <row r="998">
      <c r="B998" s="129"/>
    </row>
    <row r="999">
      <c r="B999" s="129"/>
    </row>
    <row r="1000">
      <c r="B1000" s="129"/>
    </row>
    <row r="1001">
      <c r="B1001" s="1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3" width="10.25"/>
  </cols>
  <sheetData>
    <row r="1">
      <c r="A1" s="130" t="s">
        <v>96</v>
      </c>
      <c r="B1" s="131" t="s">
        <v>97</v>
      </c>
      <c r="C1" s="132" t="s">
        <v>93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4" t="s">
        <v>98</v>
      </c>
      <c r="B2" s="135">
        <v>44407.0</v>
      </c>
      <c r="C2" s="136">
        <v>89.0</v>
      </c>
    </row>
    <row r="3">
      <c r="A3" s="137" t="s">
        <v>99</v>
      </c>
      <c r="B3" s="138">
        <v>44551.0</v>
      </c>
      <c r="C3" s="139">
        <v>614.0</v>
      </c>
    </row>
    <row r="4">
      <c r="A4" s="134" t="s">
        <v>100</v>
      </c>
      <c r="B4" s="135">
        <v>44778.0</v>
      </c>
      <c r="C4" s="136">
        <v>1047.0</v>
      </c>
    </row>
    <row r="5">
      <c r="A5" s="137" t="s">
        <v>101</v>
      </c>
      <c r="B5" s="138">
        <v>44922.0</v>
      </c>
      <c r="C5" s="139">
        <v>1052.0</v>
      </c>
    </row>
    <row r="6">
      <c r="A6" s="134" t="s">
        <v>102</v>
      </c>
      <c r="B6" s="135">
        <v>45133.0</v>
      </c>
      <c r="C6" s="136">
        <v>1069.0</v>
      </c>
    </row>
    <row r="7">
      <c r="A7" s="137" t="s">
        <v>103</v>
      </c>
      <c r="B7" s="138">
        <v>45281.0</v>
      </c>
      <c r="C7" s="139">
        <v>1068.0</v>
      </c>
    </row>
    <row r="8">
      <c r="A8" s="134" t="s">
        <v>104</v>
      </c>
      <c r="B8" s="140">
        <v>45492.0</v>
      </c>
      <c r="C8" s="136">
        <v>1116.0</v>
      </c>
    </row>
    <row r="9">
      <c r="A9" s="137" t="s">
        <v>105</v>
      </c>
      <c r="B9" s="141">
        <v>45645.0</v>
      </c>
      <c r="C9" s="139">
        <v>1129.0</v>
      </c>
    </row>
    <row r="10">
      <c r="A10" s="105" t="s">
        <v>106</v>
      </c>
      <c r="B10" s="142">
        <v>45855.0</v>
      </c>
      <c r="C10" s="143">
        <v>1500.0</v>
      </c>
    </row>
    <row r="11">
      <c r="A11" s="134" t="s">
        <v>107</v>
      </c>
      <c r="B11" s="140">
        <v>45870.0</v>
      </c>
      <c r="C11" s="136">
        <v>1148.0</v>
      </c>
    </row>
    <row r="12">
      <c r="A12" s="144" t="s">
        <v>108</v>
      </c>
      <c r="B12" s="145">
        <v>45882.0</v>
      </c>
      <c r="C12" s="143">
        <v>1864.0</v>
      </c>
    </row>
    <row r="13">
      <c r="A13" s="144" t="s">
        <v>109</v>
      </c>
      <c r="B13" s="145">
        <v>45917.0</v>
      </c>
      <c r="C13" s="143">
        <v>1524.0</v>
      </c>
    </row>
    <row r="14">
      <c r="A14" s="144" t="s">
        <v>110</v>
      </c>
      <c r="B14" s="145">
        <v>45946.0</v>
      </c>
      <c r="C14" s="143">
        <v>1516.0</v>
      </c>
    </row>
    <row r="15">
      <c r="A15" s="144" t="s">
        <v>111</v>
      </c>
      <c r="B15" s="145">
        <v>45979.0</v>
      </c>
      <c r="C15" s="143">
        <v>1575.0</v>
      </c>
    </row>
    <row r="16">
      <c r="A16" s="144" t="s">
        <v>112</v>
      </c>
      <c r="B16" s="145">
        <v>46007.0</v>
      </c>
      <c r="C16" s="143">
        <v>1745.0</v>
      </c>
    </row>
    <row r="17">
      <c r="A17" s="137" t="s">
        <v>113</v>
      </c>
      <c r="B17" s="138">
        <v>46008.0</v>
      </c>
      <c r="C17" s="139">
        <v>1170.0</v>
      </c>
    </row>
    <row r="18">
      <c r="A18" s="144" t="s">
        <v>114</v>
      </c>
      <c r="B18" s="145">
        <v>46042.0</v>
      </c>
      <c r="C18" s="143">
        <v>1549.0</v>
      </c>
    </row>
    <row r="19">
      <c r="A19" s="144" t="s">
        <v>115</v>
      </c>
      <c r="B19" s="145">
        <v>46070.0</v>
      </c>
      <c r="C19" s="143">
        <v>1554.0</v>
      </c>
    </row>
    <row r="20">
      <c r="A20" s="144" t="s">
        <v>116</v>
      </c>
      <c r="B20" s="145">
        <v>46098.0</v>
      </c>
      <c r="C20" s="143">
        <v>1540.0</v>
      </c>
    </row>
    <row r="21">
      <c r="A21" s="144" t="s">
        <v>117</v>
      </c>
      <c r="B21" s="145">
        <v>46132.0</v>
      </c>
      <c r="C21" s="143">
        <v>1557.0</v>
      </c>
    </row>
    <row r="22">
      <c r="A22" s="144" t="s">
        <v>118</v>
      </c>
      <c r="B22" s="145">
        <v>46160.0</v>
      </c>
      <c r="C22" s="143">
        <v>1540.0</v>
      </c>
    </row>
    <row r="23">
      <c r="A23" s="144" t="s">
        <v>119</v>
      </c>
      <c r="B23" s="145">
        <v>46190.0</v>
      </c>
      <c r="C23" s="143">
        <v>1550.0</v>
      </c>
    </row>
    <row r="24">
      <c r="A24" s="144" t="s">
        <v>120</v>
      </c>
      <c r="B24" s="145">
        <v>46219.0</v>
      </c>
      <c r="C24" s="143">
        <v>1540.0</v>
      </c>
    </row>
    <row r="25">
      <c r="A25" s="134" t="s">
        <v>121</v>
      </c>
      <c r="B25" s="135">
        <v>46241.0</v>
      </c>
      <c r="C25" s="136">
        <v>1190.0</v>
      </c>
    </row>
    <row r="26">
      <c r="A26" s="146"/>
      <c r="B26" s="124"/>
      <c r="C26" s="29"/>
    </row>
    <row r="27">
      <c r="A27" s="146"/>
      <c r="B27" s="124"/>
      <c r="C27" s="29"/>
    </row>
    <row r="28">
      <c r="A28" s="146"/>
      <c r="B28" s="124"/>
      <c r="C28" s="29"/>
    </row>
    <row r="29">
      <c r="A29" s="146"/>
      <c r="B29" s="124"/>
      <c r="C29" s="29"/>
    </row>
    <row r="30">
      <c r="A30" s="146"/>
      <c r="B30" s="124"/>
      <c r="C30" s="29"/>
    </row>
    <row r="31">
      <c r="A31" s="146"/>
      <c r="B31" s="124"/>
      <c r="C31" s="29"/>
    </row>
    <row r="32">
      <c r="A32" s="146"/>
      <c r="B32" s="124"/>
      <c r="C32" s="29"/>
    </row>
    <row r="33">
      <c r="A33" s="146"/>
      <c r="B33" s="124"/>
      <c r="C33" s="29"/>
    </row>
    <row r="34">
      <c r="A34" s="146"/>
      <c r="B34" s="124"/>
      <c r="C34" s="29"/>
    </row>
    <row r="35">
      <c r="A35" s="146"/>
      <c r="B35" s="124"/>
      <c r="C35" s="29"/>
    </row>
    <row r="36">
      <c r="A36" s="146"/>
      <c r="B36" s="124"/>
      <c r="C36" s="29"/>
    </row>
    <row r="37">
      <c r="A37" s="146"/>
      <c r="B37" s="124"/>
      <c r="C37" s="29"/>
    </row>
    <row r="38">
      <c r="A38" s="146"/>
      <c r="B38" s="124"/>
      <c r="C38" s="29"/>
    </row>
    <row r="39">
      <c r="A39" s="146"/>
      <c r="B39" s="124"/>
      <c r="C39" s="29"/>
    </row>
    <row r="40">
      <c r="A40" s="146"/>
      <c r="B40" s="124"/>
      <c r="C40" s="29"/>
    </row>
    <row r="41">
      <c r="A41" s="146"/>
      <c r="B41" s="124"/>
      <c r="C41" s="29"/>
    </row>
    <row r="42">
      <c r="A42" s="146"/>
      <c r="B42" s="124"/>
      <c r="C42" s="29"/>
    </row>
    <row r="43">
      <c r="A43" s="146"/>
      <c r="B43" s="124"/>
      <c r="C43" s="29"/>
    </row>
    <row r="44">
      <c r="A44" s="146"/>
      <c r="B44" s="124"/>
      <c r="C44" s="29"/>
    </row>
    <row r="45">
      <c r="A45" s="146"/>
      <c r="B45" s="124"/>
      <c r="C45" s="29"/>
    </row>
    <row r="46">
      <c r="A46" s="146"/>
      <c r="B46" s="124"/>
      <c r="C46" s="29"/>
    </row>
    <row r="47">
      <c r="A47" s="146"/>
      <c r="B47" s="124"/>
      <c r="C47" s="29"/>
    </row>
    <row r="48">
      <c r="A48" s="146"/>
      <c r="B48" s="124"/>
      <c r="C48" s="29"/>
    </row>
    <row r="49">
      <c r="A49" s="146"/>
      <c r="B49" s="124"/>
      <c r="C49" s="29"/>
    </row>
    <row r="50">
      <c r="A50" s="146"/>
      <c r="B50" s="124"/>
      <c r="C50" s="29"/>
    </row>
    <row r="51">
      <c r="A51" s="146"/>
      <c r="B51" s="124"/>
      <c r="C51" s="29"/>
    </row>
    <row r="52">
      <c r="A52" s="146"/>
      <c r="B52" s="124"/>
      <c r="C52" s="29"/>
    </row>
    <row r="53">
      <c r="A53" s="146"/>
      <c r="B53" s="124"/>
      <c r="C53" s="29"/>
    </row>
    <row r="54">
      <c r="A54" s="146"/>
      <c r="B54" s="124"/>
      <c r="C54" s="29"/>
    </row>
    <row r="55">
      <c r="A55" s="146"/>
      <c r="B55" s="124"/>
      <c r="C55" s="29"/>
    </row>
    <row r="56">
      <c r="A56" s="146"/>
      <c r="B56" s="124"/>
      <c r="C56" s="29"/>
    </row>
    <row r="57">
      <c r="A57" s="146"/>
      <c r="B57" s="124"/>
      <c r="C57" s="29"/>
    </row>
    <row r="58">
      <c r="A58" s="146"/>
      <c r="B58" s="124"/>
      <c r="C58" s="29"/>
    </row>
    <row r="59">
      <c r="A59" s="146"/>
      <c r="B59" s="124"/>
      <c r="C59" s="29"/>
    </row>
    <row r="60">
      <c r="A60" s="146"/>
      <c r="B60" s="124"/>
      <c r="C60" s="29"/>
    </row>
    <row r="61">
      <c r="A61" s="146"/>
      <c r="B61" s="124"/>
      <c r="C61" s="29"/>
    </row>
    <row r="62">
      <c r="A62" s="146"/>
      <c r="B62" s="124"/>
      <c r="C62" s="29"/>
    </row>
    <row r="63">
      <c r="A63" s="146"/>
      <c r="B63" s="124"/>
      <c r="C63" s="29"/>
    </row>
    <row r="64">
      <c r="A64" s="146"/>
      <c r="B64" s="124"/>
      <c r="C64" s="29"/>
    </row>
    <row r="65">
      <c r="A65" s="146"/>
      <c r="B65" s="124"/>
      <c r="C65" s="29"/>
    </row>
    <row r="66">
      <c r="A66" s="146"/>
      <c r="B66" s="124"/>
      <c r="C66" s="29"/>
    </row>
    <row r="67">
      <c r="A67" s="146"/>
      <c r="B67" s="124"/>
      <c r="C67" s="29"/>
    </row>
    <row r="68">
      <c r="A68" s="146"/>
      <c r="B68" s="124"/>
      <c r="C68" s="29"/>
    </row>
    <row r="69">
      <c r="A69" s="146"/>
      <c r="B69" s="124"/>
      <c r="C69" s="29"/>
    </row>
    <row r="70">
      <c r="A70" s="146"/>
      <c r="B70" s="124"/>
      <c r="C70" s="29"/>
    </row>
    <row r="71">
      <c r="A71" s="146"/>
      <c r="B71" s="124"/>
      <c r="C71" s="29"/>
    </row>
    <row r="72">
      <c r="A72" s="146"/>
      <c r="B72" s="124"/>
      <c r="C72" s="29"/>
    </row>
    <row r="73">
      <c r="A73" s="146"/>
      <c r="B73" s="124"/>
      <c r="C73" s="29"/>
    </row>
    <row r="74">
      <c r="A74" s="146"/>
      <c r="B74" s="124"/>
      <c r="C74" s="29"/>
    </row>
    <row r="75">
      <c r="A75" s="146"/>
      <c r="B75" s="124"/>
      <c r="C75" s="29"/>
    </row>
    <row r="76">
      <c r="A76" s="146"/>
      <c r="B76" s="124"/>
      <c r="C76" s="29"/>
    </row>
    <row r="77">
      <c r="A77" s="146"/>
      <c r="B77" s="124"/>
      <c r="C77" s="29"/>
    </row>
    <row r="78">
      <c r="A78" s="146"/>
      <c r="B78" s="124"/>
      <c r="C78" s="29"/>
    </row>
    <row r="79">
      <c r="A79" s="146"/>
      <c r="B79" s="124"/>
      <c r="C79" s="29"/>
    </row>
    <row r="80">
      <c r="A80" s="146"/>
      <c r="B80" s="124"/>
      <c r="C80" s="29"/>
    </row>
    <row r="81">
      <c r="A81" s="146"/>
      <c r="B81" s="124"/>
      <c r="C81" s="29"/>
    </row>
    <row r="82">
      <c r="A82" s="146"/>
      <c r="B82" s="124"/>
      <c r="C82" s="29"/>
    </row>
    <row r="83">
      <c r="A83" s="146"/>
      <c r="B83" s="124"/>
      <c r="C83" s="29"/>
    </row>
    <row r="84">
      <c r="A84" s="146"/>
      <c r="B84" s="124"/>
      <c r="C84" s="29"/>
    </row>
    <row r="85">
      <c r="A85" s="146"/>
      <c r="B85" s="124"/>
      <c r="C85" s="29"/>
    </row>
    <row r="86">
      <c r="A86" s="146"/>
      <c r="B86" s="124"/>
      <c r="C86" s="29"/>
    </row>
    <row r="87">
      <c r="A87" s="146"/>
      <c r="B87" s="124"/>
      <c r="C87" s="29"/>
    </row>
    <row r="88">
      <c r="A88" s="146"/>
      <c r="B88" s="124"/>
      <c r="C88" s="29"/>
    </row>
    <row r="89">
      <c r="A89" s="146"/>
      <c r="B89" s="124"/>
      <c r="C89" s="29"/>
    </row>
    <row r="90">
      <c r="A90" s="146"/>
      <c r="B90" s="124"/>
      <c r="C90" s="29"/>
    </row>
    <row r="91">
      <c r="A91" s="146"/>
      <c r="B91" s="124"/>
      <c r="C91" s="29"/>
    </row>
    <row r="92">
      <c r="A92" s="146"/>
      <c r="B92" s="124"/>
      <c r="C92" s="29"/>
    </row>
    <row r="93">
      <c r="A93" s="146"/>
      <c r="B93" s="124"/>
      <c r="C93" s="29"/>
    </row>
    <row r="94">
      <c r="A94" s="146"/>
      <c r="B94" s="124"/>
      <c r="C94" s="29"/>
    </row>
    <row r="95">
      <c r="A95" s="146"/>
      <c r="B95" s="124"/>
      <c r="C95" s="29"/>
    </row>
    <row r="96">
      <c r="A96" s="146"/>
      <c r="B96" s="124"/>
      <c r="C96" s="29"/>
    </row>
    <row r="97">
      <c r="A97" s="146"/>
      <c r="B97" s="124"/>
      <c r="C97" s="29"/>
    </row>
    <row r="98">
      <c r="A98" s="146"/>
      <c r="B98" s="124"/>
      <c r="C98" s="29"/>
    </row>
    <row r="99">
      <c r="A99" s="146"/>
      <c r="B99" s="124"/>
      <c r="C99" s="29"/>
    </row>
    <row r="100">
      <c r="A100" s="146"/>
      <c r="B100" s="124"/>
      <c r="C100" s="29"/>
    </row>
    <row r="101">
      <c r="A101" s="146"/>
      <c r="B101" s="124"/>
      <c r="C101" s="29"/>
    </row>
    <row r="102">
      <c r="A102" s="146"/>
      <c r="B102" s="124"/>
      <c r="C102" s="29"/>
    </row>
    <row r="103">
      <c r="A103" s="146"/>
      <c r="B103" s="124"/>
      <c r="C103" s="29"/>
    </row>
    <row r="104">
      <c r="A104" s="146"/>
      <c r="B104" s="124"/>
      <c r="C104" s="29"/>
    </row>
    <row r="105">
      <c r="A105" s="146"/>
      <c r="B105" s="124"/>
      <c r="C105" s="29"/>
    </row>
    <row r="106">
      <c r="A106" s="146"/>
      <c r="B106" s="124"/>
      <c r="C106" s="29"/>
    </row>
    <row r="107">
      <c r="A107" s="146"/>
      <c r="B107" s="124"/>
      <c r="C107" s="29"/>
    </row>
    <row r="108">
      <c r="A108" s="146"/>
      <c r="B108" s="124"/>
      <c r="C108" s="29"/>
    </row>
    <row r="109">
      <c r="A109" s="146"/>
      <c r="B109" s="124"/>
      <c r="C109" s="29"/>
    </row>
    <row r="110">
      <c r="A110" s="146"/>
      <c r="B110" s="124"/>
      <c r="C110" s="29"/>
    </row>
    <row r="111">
      <c r="A111" s="146"/>
      <c r="B111" s="124"/>
      <c r="C111" s="29"/>
    </row>
    <row r="112">
      <c r="A112" s="146"/>
      <c r="B112" s="124"/>
      <c r="C112" s="29"/>
    </row>
    <row r="113">
      <c r="A113" s="146"/>
      <c r="B113" s="124"/>
      <c r="C113" s="29"/>
    </row>
    <row r="114">
      <c r="A114" s="146"/>
      <c r="B114" s="124"/>
      <c r="C114" s="29"/>
    </row>
    <row r="115">
      <c r="A115" s="146"/>
      <c r="B115" s="124"/>
      <c r="C115" s="29"/>
    </row>
    <row r="116">
      <c r="A116" s="146"/>
      <c r="B116" s="124"/>
      <c r="C116" s="29"/>
    </row>
    <row r="117">
      <c r="A117" s="146"/>
      <c r="B117" s="124"/>
      <c r="C117" s="29"/>
    </row>
    <row r="118">
      <c r="A118" s="146"/>
      <c r="B118" s="124"/>
      <c r="C118" s="29"/>
    </row>
    <row r="119">
      <c r="A119" s="146"/>
      <c r="B119" s="124"/>
      <c r="C119" s="29"/>
    </row>
    <row r="120">
      <c r="A120" s="146"/>
      <c r="B120" s="124"/>
      <c r="C120" s="29"/>
    </row>
    <row r="121">
      <c r="A121" s="146"/>
      <c r="B121" s="124"/>
      <c r="C121" s="29"/>
    </row>
    <row r="122">
      <c r="A122" s="146"/>
      <c r="B122" s="124"/>
      <c r="C122" s="29"/>
    </row>
    <row r="123">
      <c r="A123" s="146"/>
      <c r="B123" s="124"/>
      <c r="C123" s="29"/>
    </row>
    <row r="124">
      <c r="A124" s="146"/>
      <c r="B124" s="124"/>
      <c r="C124" s="29"/>
    </row>
    <row r="125">
      <c r="A125" s="146"/>
      <c r="B125" s="124"/>
      <c r="C125" s="29"/>
    </row>
    <row r="126">
      <c r="A126" s="146"/>
      <c r="B126" s="124"/>
      <c r="C126" s="29"/>
    </row>
    <row r="127">
      <c r="A127" s="146"/>
      <c r="B127" s="124"/>
      <c r="C127" s="29"/>
    </row>
    <row r="128">
      <c r="A128" s="146"/>
      <c r="B128" s="124"/>
      <c r="C128" s="29"/>
    </row>
    <row r="129">
      <c r="A129" s="146"/>
      <c r="B129" s="124"/>
      <c r="C129" s="29"/>
    </row>
    <row r="130">
      <c r="A130" s="146"/>
      <c r="B130" s="124"/>
      <c r="C130" s="29"/>
    </row>
    <row r="131">
      <c r="A131" s="146"/>
      <c r="B131" s="124"/>
      <c r="C131" s="29"/>
    </row>
    <row r="132">
      <c r="A132" s="146"/>
      <c r="B132" s="124"/>
      <c r="C132" s="29"/>
    </row>
    <row r="133">
      <c r="A133" s="146"/>
      <c r="B133" s="124"/>
      <c r="C133" s="29"/>
    </row>
    <row r="134">
      <c r="A134" s="146"/>
      <c r="B134" s="124"/>
      <c r="C134" s="29"/>
    </row>
    <row r="135">
      <c r="A135" s="146"/>
      <c r="B135" s="124"/>
      <c r="C135" s="29"/>
    </row>
    <row r="136">
      <c r="A136" s="146"/>
      <c r="B136" s="124"/>
      <c r="C136" s="29"/>
    </row>
    <row r="137">
      <c r="A137" s="146"/>
      <c r="B137" s="124"/>
      <c r="C137" s="29"/>
    </row>
    <row r="138">
      <c r="A138" s="146"/>
      <c r="B138" s="124"/>
      <c r="C138" s="29"/>
    </row>
    <row r="139">
      <c r="A139" s="146"/>
      <c r="B139" s="124"/>
      <c r="C139" s="29"/>
    </row>
    <row r="140">
      <c r="A140" s="146"/>
      <c r="B140" s="124"/>
      <c r="C140" s="29"/>
    </row>
    <row r="141">
      <c r="A141" s="146"/>
      <c r="B141" s="124"/>
      <c r="C141" s="29"/>
    </row>
    <row r="142">
      <c r="A142" s="146"/>
      <c r="B142" s="124"/>
      <c r="C142" s="29"/>
    </row>
    <row r="143">
      <c r="A143" s="146"/>
      <c r="B143" s="124"/>
      <c r="C143" s="29"/>
    </row>
    <row r="144">
      <c r="A144" s="146"/>
      <c r="B144" s="124"/>
      <c r="C144" s="29"/>
    </row>
    <row r="145">
      <c r="A145" s="146"/>
      <c r="B145" s="124"/>
      <c r="C145" s="29"/>
    </row>
    <row r="146">
      <c r="A146" s="146"/>
      <c r="B146" s="124"/>
      <c r="C146" s="29"/>
    </row>
    <row r="147">
      <c r="A147" s="146"/>
      <c r="B147" s="124"/>
      <c r="C147" s="29"/>
    </row>
    <row r="148">
      <c r="A148" s="146"/>
      <c r="B148" s="124"/>
      <c r="C148" s="29"/>
    </row>
    <row r="149">
      <c r="A149" s="146"/>
      <c r="B149" s="124"/>
      <c r="C149" s="29"/>
    </row>
    <row r="150">
      <c r="A150" s="146"/>
      <c r="B150" s="124"/>
      <c r="C150" s="29"/>
    </row>
    <row r="151">
      <c r="A151" s="146"/>
      <c r="B151" s="124"/>
      <c r="C151" s="29"/>
    </row>
    <row r="152">
      <c r="A152" s="146"/>
      <c r="B152" s="124"/>
      <c r="C152" s="29"/>
    </row>
    <row r="153">
      <c r="A153" s="146"/>
      <c r="B153" s="124"/>
      <c r="C153" s="29"/>
    </row>
    <row r="154">
      <c r="A154" s="146"/>
      <c r="B154" s="124"/>
      <c r="C154" s="29"/>
    </row>
    <row r="155">
      <c r="A155" s="146"/>
      <c r="B155" s="124"/>
      <c r="C155" s="29"/>
    </row>
    <row r="156">
      <c r="A156" s="146"/>
      <c r="B156" s="124"/>
      <c r="C156" s="29"/>
    </row>
    <row r="157">
      <c r="A157" s="146"/>
      <c r="B157" s="124"/>
      <c r="C157" s="29"/>
    </row>
    <row r="158">
      <c r="A158" s="146"/>
      <c r="B158" s="124"/>
      <c r="C158" s="29"/>
    </row>
    <row r="159">
      <c r="A159" s="146"/>
      <c r="B159" s="124"/>
      <c r="C159" s="29"/>
    </row>
    <row r="160">
      <c r="A160" s="146"/>
      <c r="B160" s="124"/>
      <c r="C160" s="29"/>
    </row>
    <row r="161">
      <c r="A161" s="146"/>
      <c r="B161" s="124"/>
      <c r="C161" s="29"/>
    </row>
    <row r="162">
      <c r="A162" s="146"/>
      <c r="B162" s="124"/>
      <c r="C162" s="29"/>
    </row>
    <row r="163">
      <c r="A163" s="146"/>
      <c r="B163" s="124"/>
      <c r="C163" s="29"/>
    </row>
    <row r="164">
      <c r="A164" s="146"/>
      <c r="B164" s="124"/>
      <c r="C164" s="29"/>
    </row>
    <row r="165">
      <c r="A165" s="146"/>
      <c r="B165" s="124"/>
      <c r="C165" s="29"/>
    </row>
    <row r="166">
      <c r="A166" s="146"/>
      <c r="B166" s="124"/>
      <c r="C166" s="29"/>
    </row>
    <row r="167">
      <c r="A167" s="146"/>
      <c r="B167" s="124"/>
      <c r="C167" s="29"/>
    </row>
    <row r="168">
      <c r="A168" s="146"/>
      <c r="B168" s="124"/>
      <c r="C168" s="29"/>
    </row>
    <row r="169">
      <c r="A169" s="146"/>
      <c r="B169" s="124"/>
      <c r="C169" s="29"/>
    </row>
    <row r="170">
      <c r="A170" s="146"/>
      <c r="B170" s="124"/>
      <c r="C170" s="29"/>
    </row>
    <row r="171">
      <c r="A171" s="146"/>
      <c r="B171" s="124"/>
      <c r="C171" s="29"/>
    </row>
    <row r="172">
      <c r="A172" s="146"/>
      <c r="B172" s="124"/>
      <c r="C172" s="29"/>
    </row>
    <row r="173">
      <c r="A173" s="146"/>
      <c r="B173" s="124"/>
      <c r="C173" s="29"/>
    </row>
    <row r="174">
      <c r="A174" s="146"/>
      <c r="B174" s="124"/>
      <c r="C174" s="29"/>
    </row>
    <row r="175">
      <c r="A175" s="146"/>
      <c r="B175" s="124"/>
      <c r="C175" s="29"/>
    </row>
    <row r="176">
      <c r="A176" s="146"/>
      <c r="B176" s="124"/>
      <c r="C176" s="29"/>
    </row>
    <row r="177">
      <c r="A177" s="146"/>
      <c r="B177" s="124"/>
      <c r="C177" s="29"/>
    </row>
    <row r="178">
      <c r="A178" s="146"/>
      <c r="B178" s="124"/>
      <c r="C178" s="29"/>
    </row>
    <row r="179">
      <c r="A179" s="146"/>
      <c r="B179" s="124"/>
      <c r="C179" s="29"/>
    </row>
    <row r="180">
      <c r="A180" s="146"/>
      <c r="B180" s="124"/>
      <c r="C180" s="29"/>
    </row>
    <row r="181">
      <c r="A181" s="146"/>
      <c r="B181" s="124"/>
      <c r="C181" s="29"/>
    </row>
    <row r="182">
      <c r="A182" s="146"/>
      <c r="B182" s="124"/>
      <c r="C182" s="29"/>
    </row>
    <row r="183">
      <c r="A183" s="146"/>
      <c r="B183" s="124"/>
      <c r="C183" s="29"/>
    </row>
    <row r="184">
      <c r="A184" s="146"/>
      <c r="B184" s="124"/>
      <c r="C184" s="29"/>
    </row>
    <row r="185">
      <c r="A185" s="146"/>
      <c r="B185" s="124"/>
      <c r="C185" s="29"/>
    </row>
    <row r="186">
      <c r="A186" s="146"/>
      <c r="B186" s="124"/>
      <c r="C186" s="29"/>
    </row>
    <row r="187">
      <c r="A187" s="146"/>
      <c r="B187" s="124"/>
      <c r="C187" s="29"/>
    </row>
    <row r="188">
      <c r="A188" s="146"/>
      <c r="B188" s="124"/>
      <c r="C188" s="29"/>
    </row>
    <row r="189">
      <c r="A189" s="146"/>
      <c r="B189" s="124"/>
      <c r="C189" s="29"/>
    </row>
    <row r="190">
      <c r="A190" s="146"/>
      <c r="B190" s="124"/>
      <c r="C190" s="29"/>
    </row>
    <row r="191">
      <c r="A191" s="146"/>
      <c r="B191" s="124"/>
      <c r="C191" s="29"/>
    </row>
    <row r="192">
      <c r="A192" s="146"/>
      <c r="B192" s="124"/>
      <c r="C192" s="29"/>
    </row>
    <row r="193">
      <c r="A193" s="146"/>
      <c r="B193" s="124"/>
      <c r="C193" s="29"/>
    </row>
    <row r="194">
      <c r="A194" s="146"/>
      <c r="B194" s="124"/>
      <c r="C194" s="29"/>
    </row>
    <row r="195">
      <c r="A195" s="146"/>
      <c r="B195" s="124"/>
      <c r="C195" s="29"/>
    </row>
    <row r="196">
      <c r="A196" s="146"/>
      <c r="B196" s="124"/>
      <c r="C196" s="29"/>
    </row>
    <row r="197">
      <c r="A197" s="146"/>
      <c r="B197" s="124"/>
      <c r="C197" s="29"/>
    </row>
    <row r="198">
      <c r="A198" s="146"/>
      <c r="B198" s="124"/>
      <c r="C198" s="29"/>
    </row>
    <row r="199">
      <c r="A199" s="146"/>
      <c r="B199" s="124"/>
      <c r="C199" s="29"/>
    </row>
    <row r="200">
      <c r="A200" s="146"/>
      <c r="B200" s="124"/>
      <c r="C200" s="29"/>
    </row>
    <row r="201">
      <c r="A201" s="146"/>
      <c r="B201" s="124"/>
      <c r="C201" s="29"/>
    </row>
    <row r="202">
      <c r="A202" s="146"/>
      <c r="B202" s="124"/>
      <c r="C202" s="29"/>
    </row>
    <row r="203">
      <c r="A203" s="146"/>
      <c r="B203" s="124"/>
      <c r="C203" s="29"/>
    </row>
    <row r="204">
      <c r="A204" s="146"/>
      <c r="B204" s="124"/>
      <c r="C204" s="29"/>
    </row>
    <row r="205">
      <c r="A205" s="146"/>
      <c r="B205" s="124"/>
      <c r="C205" s="29"/>
    </row>
    <row r="206">
      <c r="A206" s="146"/>
      <c r="B206" s="124"/>
      <c r="C206" s="29"/>
    </row>
    <row r="207">
      <c r="A207" s="146"/>
      <c r="B207" s="124"/>
      <c r="C207" s="29"/>
    </row>
    <row r="208">
      <c r="A208" s="146"/>
      <c r="B208" s="124"/>
      <c r="C208" s="29"/>
    </row>
    <row r="209">
      <c r="A209" s="146"/>
      <c r="B209" s="124"/>
      <c r="C209" s="29"/>
    </row>
    <row r="210">
      <c r="A210" s="146"/>
      <c r="B210" s="124"/>
      <c r="C210" s="29"/>
    </row>
    <row r="211">
      <c r="A211" s="146"/>
      <c r="B211" s="124"/>
      <c r="C211" s="29"/>
    </row>
    <row r="212">
      <c r="A212" s="146"/>
      <c r="B212" s="124"/>
      <c r="C212" s="29"/>
    </row>
    <row r="213">
      <c r="A213" s="146"/>
      <c r="B213" s="124"/>
      <c r="C213" s="29"/>
    </row>
    <row r="214">
      <c r="A214" s="146"/>
      <c r="B214" s="124"/>
      <c r="C214" s="29"/>
    </row>
    <row r="215">
      <c r="A215" s="146"/>
      <c r="B215" s="124"/>
      <c r="C215" s="29"/>
    </row>
    <row r="216">
      <c r="A216" s="146"/>
      <c r="B216" s="124"/>
      <c r="C216" s="29"/>
    </row>
    <row r="217">
      <c r="A217" s="146"/>
      <c r="B217" s="124"/>
      <c r="C217" s="29"/>
    </row>
    <row r="218">
      <c r="A218" s="146"/>
      <c r="B218" s="124"/>
      <c r="C218" s="29"/>
    </row>
    <row r="219">
      <c r="A219" s="146"/>
      <c r="B219" s="124"/>
      <c r="C219" s="29"/>
    </row>
    <row r="220">
      <c r="A220" s="146"/>
      <c r="B220" s="124"/>
      <c r="C220" s="29"/>
    </row>
    <row r="221">
      <c r="A221" s="146"/>
      <c r="B221" s="124"/>
      <c r="C221" s="29"/>
    </row>
    <row r="222">
      <c r="A222" s="146"/>
      <c r="B222" s="124"/>
      <c r="C222" s="29"/>
    </row>
    <row r="223">
      <c r="A223" s="146"/>
      <c r="B223" s="124"/>
      <c r="C223" s="29"/>
    </row>
    <row r="224">
      <c r="A224" s="146"/>
      <c r="B224" s="124"/>
      <c r="C224" s="29"/>
    </row>
    <row r="225">
      <c r="A225" s="146"/>
      <c r="B225" s="124"/>
      <c r="C225" s="29"/>
    </row>
    <row r="226">
      <c r="A226" s="146"/>
      <c r="B226" s="124"/>
      <c r="C226" s="29"/>
    </row>
    <row r="227">
      <c r="A227" s="146"/>
      <c r="B227" s="124"/>
      <c r="C227" s="29"/>
    </row>
    <row r="228">
      <c r="A228" s="146"/>
      <c r="B228" s="124"/>
      <c r="C228" s="29"/>
    </row>
    <row r="229">
      <c r="A229" s="146"/>
      <c r="B229" s="124"/>
      <c r="C229" s="29"/>
    </row>
    <row r="230">
      <c r="A230" s="146"/>
      <c r="B230" s="124"/>
      <c r="C230" s="29"/>
    </row>
    <row r="231">
      <c r="A231" s="146"/>
      <c r="B231" s="124"/>
      <c r="C231" s="29"/>
    </row>
    <row r="232">
      <c r="A232" s="146"/>
      <c r="B232" s="124"/>
      <c r="C232" s="29"/>
    </row>
    <row r="233">
      <c r="A233" s="146"/>
      <c r="B233" s="124"/>
      <c r="C233" s="29"/>
    </row>
    <row r="234">
      <c r="A234" s="146"/>
      <c r="B234" s="124"/>
      <c r="C234" s="29"/>
    </row>
    <row r="235">
      <c r="A235" s="146"/>
      <c r="B235" s="124"/>
      <c r="C235" s="29"/>
    </row>
    <row r="236">
      <c r="A236" s="146"/>
      <c r="B236" s="124"/>
      <c r="C236" s="29"/>
    </row>
    <row r="237">
      <c r="A237" s="146"/>
      <c r="B237" s="124"/>
      <c r="C237" s="29"/>
    </row>
    <row r="238">
      <c r="A238" s="146"/>
      <c r="B238" s="124"/>
      <c r="C238" s="29"/>
    </row>
    <row r="239">
      <c r="A239" s="146"/>
      <c r="B239" s="124"/>
      <c r="C239" s="29"/>
    </row>
    <row r="240">
      <c r="A240" s="146"/>
      <c r="B240" s="124"/>
      <c r="C240" s="29"/>
    </row>
    <row r="241">
      <c r="A241" s="146"/>
      <c r="B241" s="124"/>
      <c r="C241" s="29"/>
    </row>
    <row r="242">
      <c r="A242" s="146"/>
      <c r="B242" s="124"/>
      <c r="C242" s="29"/>
    </row>
    <row r="243">
      <c r="A243" s="146"/>
      <c r="B243" s="124"/>
      <c r="C243" s="29"/>
    </row>
    <row r="244">
      <c r="A244" s="146"/>
      <c r="B244" s="124"/>
      <c r="C244" s="29"/>
    </row>
    <row r="245">
      <c r="A245" s="146"/>
      <c r="B245" s="124"/>
      <c r="C245" s="29"/>
    </row>
    <row r="246">
      <c r="A246" s="146"/>
      <c r="B246" s="124"/>
      <c r="C246" s="29"/>
    </row>
    <row r="247">
      <c r="A247" s="146"/>
      <c r="B247" s="124"/>
      <c r="C247" s="29"/>
    </row>
    <row r="248">
      <c r="A248" s="146"/>
      <c r="B248" s="124"/>
      <c r="C248" s="29"/>
    </row>
    <row r="249">
      <c r="A249" s="146"/>
      <c r="B249" s="124"/>
      <c r="C249" s="29"/>
    </row>
    <row r="250">
      <c r="A250" s="146"/>
      <c r="B250" s="124"/>
      <c r="C250" s="29"/>
    </row>
    <row r="251">
      <c r="A251" s="146"/>
      <c r="B251" s="124"/>
      <c r="C251" s="29"/>
    </row>
    <row r="252">
      <c r="A252" s="146"/>
      <c r="B252" s="124"/>
      <c r="C252" s="29"/>
    </row>
    <row r="253">
      <c r="A253" s="146"/>
      <c r="B253" s="124"/>
      <c r="C253" s="29"/>
    </row>
    <row r="254">
      <c r="A254" s="146"/>
      <c r="B254" s="124"/>
      <c r="C254" s="29"/>
    </row>
    <row r="255">
      <c r="A255" s="146"/>
      <c r="B255" s="124"/>
      <c r="C255" s="29"/>
    </row>
    <row r="256">
      <c r="A256" s="146"/>
      <c r="B256" s="124"/>
      <c r="C256" s="29"/>
    </row>
    <row r="257">
      <c r="A257" s="146"/>
      <c r="B257" s="124"/>
      <c r="C257" s="29"/>
    </row>
    <row r="258">
      <c r="A258" s="146"/>
      <c r="B258" s="124"/>
      <c r="C258" s="29"/>
    </row>
    <row r="259">
      <c r="A259" s="146"/>
      <c r="B259" s="124"/>
      <c r="C259" s="29"/>
    </row>
    <row r="260">
      <c r="A260" s="146"/>
      <c r="B260" s="124"/>
      <c r="C260" s="29"/>
    </row>
    <row r="261">
      <c r="A261" s="146"/>
      <c r="B261" s="124"/>
      <c r="C261" s="29"/>
    </row>
    <row r="262">
      <c r="A262" s="146"/>
      <c r="B262" s="124"/>
      <c r="C262" s="29"/>
    </row>
    <row r="263">
      <c r="A263" s="146"/>
      <c r="B263" s="124"/>
      <c r="C263" s="29"/>
    </row>
    <row r="264">
      <c r="A264" s="146"/>
      <c r="B264" s="124"/>
      <c r="C264" s="29"/>
    </row>
    <row r="265">
      <c r="A265" s="146"/>
      <c r="B265" s="124"/>
      <c r="C265" s="29"/>
    </row>
    <row r="266">
      <c r="A266" s="146"/>
      <c r="B266" s="124"/>
      <c r="C266" s="29"/>
    </row>
    <row r="267">
      <c r="A267" s="146"/>
      <c r="B267" s="124"/>
      <c r="C267" s="29"/>
    </row>
    <row r="268">
      <c r="A268" s="146"/>
      <c r="B268" s="124"/>
      <c r="C268" s="29"/>
    </row>
    <row r="269">
      <c r="A269" s="146"/>
      <c r="B269" s="124"/>
      <c r="C269" s="29"/>
    </row>
    <row r="270">
      <c r="A270" s="146"/>
      <c r="B270" s="124"/>
      <c r="C270" s="29"/>
    </row>
    <row r="271">
      <c r="A271" s="146"/>
      <c r="B271" s="124"/>
      <c r="C271" s="29"/>
    </row>
    <row r="272">
      <c r="A272" s="146"/>
      <c r="B272" s="124"/>
      <c r="C272" s="29"/>
    </row>
    <row r="273">
      <c r="A273" s="146"/>
      <c r="B273" s="124"/>
      <c r="C273" s="29"/>
    </row>
    <row r="274">
      <c r="A274" s="146"/>
      <c r="B274" s="124"/>
      <c r="C274" s="29"/>
    </row>
    <row r="275">
      <c r="A275" s="146"/>
      <c r="B275" s="124"/>
      <c r="C275" s="29"/>
    </row>
    <row r="276">
      <c r="A276" s="146"/>
      <c r="B276" s="124"/>
      <c r="C276" s="29"/>
    </row>
    <row r="277">
      <c r="A277" s="146"/>
      <c r="B277" s="124"/>
      <c r="C277" s="29"/>
    </row>
    <row r="278">
      <c r="A278" s="146"/>
      <c r="B278" s="124"/>
      <c r="C278" s="29"/>
    </row>
    <row r="279">
      <c r="A279" s="146"/>
      <c r="B279" s="124"/>
      <c r="C279" s="29"/>
    </row>
    <row r="280">
      <c r="A280" s="146"/>
      <c r="B280" s="124"/>
      <c r="C280" s="29"/>
    </row>
    <row r="281">
      <c r="A281" s="146"/>
      <c r="B281" s="124"/>
      <c r="C281" s="29"/>
    </row>
    <row r="282">
      <c r="A282" s="146"/>
      <c r="B282" s="124"/>
      <c r="C282" s="29"/>
    </row>
    <row r="283">
      <c r="A283" s="146"/>
      <c r="B283" s="124"/>
      <c r="C283" s="29"/>
    </row>
    <row r="284">
      <c r="A284" s="146"/>
      <c r="B284" s="124"/>
      <c r="C284" s="29"/>
    </row>
    <row r="285">
      <c r="A285" s="146"/>
      <c r="B285" s="124"/>
      <c r="C285" s="29"/>
    </row>
    <row r="286">
      <c r="A286" s="146"/>
      <c r="B286" s="124"/>
      <c r="C286" s="29"/>
    </row>
    <row r="287">
      <c r="A287" s="146"/>
      <c r="B287" s="124"/>
      <c r="C287" s="29"/>
    </row>
    <row r="288">
      <c r="A288" s="146"/>
      <c r="B288" s="124"/>
      <c r="C288" s="29"/>
    </row>
    <row r="289">
      <c r="A289" s="146"/>
      <c r="B289" s="124"/>
      <c r="C289" s="29"/>
    </row>
    <row r="290">
      <c r="A290" s="146"/>
      <c r="B290" s="124"/>
      <c r="C290" s="29"/>
    </row>
    <row r="291">
      <c r="A291" s="146"/>
      <c r="B291" s="124"/>
      <c r="C291" s="29"/>
    </row>
    <row r="292">
      <c r="A292" s="146"/>
      <c r="B292" s="124"/>
      <c r="C292" s="29"/>
    </row>
    <row r="293">
      <c r="A293" s="146"/>
      <c r="B293" s="124"/>
      <c r="C293" s="29"/>
    </row>
    <row r="294">
      <c r="A294" s="146"/>
      <c r="B294" s="124"/>
      <c r="C294" s="29"/>
    </row>
    <row r="295">
      <c r="A295" s="146"/>
      <c r="B295" s="124"/>
      <c r="C295" s="29"/>
    </row>
    <row r="296">
      <c r="A296" s="146"/>
      <c r="B296" s="124"/>
      <c r="C296" s="29"/>
    </row>
    <row r="297">
      <c r="A297" s="146"/>
      <c r="B297" s="124"/>
      <c r="C297" s="29"/>
    </row>
    <row r="298">
      <c r="A298" s="146"/>
      <c r="B298" s="124"/>
      <c r="C298" s="29"/>
    </row>
    <row r="299">
      <c r="A299" s="146"/>
      <c r="B299" s="124"/>
      <c r="C299" s="29"/>
    </row>
    <row r="300">
      <c r="A300" s="146"/>
      <c r="B300" s="124"/>
      <c r="C300" s="29"/>
    </row>
    <row r="301">
      <c r="A301" s="146"/>
      <c r="B301" s="124"/>
      <c r="C301" s="29"/>
    </row>
    <row r="302">
      <c r="A302" s="146"/>
      <c r="B302" s="124"/>
      <c r="C302" s="29"/>
    </row>
    <row r="303">
      <c r="A303" s="146"/>
      <c r="B303" s="124"/>
      <c r="C303" s="29"/>
    </row>
    <row r="304">
      <c r="A304" s="146"/>
      <c r="B304" s="124"/>
      <c r="C304" s="29"/>
    </row>
    <row r="305">
      <c r="A305" s="146"/>
      <c r="B305" s="124"/>
      <c r="C305" s="29"/>
    </row>
    <row r="306">
      <c r="A306" s="146"/>
      <c r="B306" s="124"/>
      <c r="C306" s="29"/>
    </row>
    <row r="307">
      <c r="A307" s="146"/>
      <c r="B307" s="124"/>
      <c r="C307" s="29"/>
    </row>
    <row r="308">
      <c r="A308" s="146"/>
      <c r="B308" s="124"/>
      <c r="C308" s="29"/>
    </row>
    <row r="309">
      <c r="A309" s="146"/>
      <c r="B309" s="124"/>
      <c r="C309" s="29"/>
    </row>
    <row r="310">
      <c r="A310" s="146"/>
      <c r="B310" s="124"/>
      <c r="C310" s="29"/>
    </row>
    <row r="311">
      <c r="A311" s="146"/>
      <c r="B311" s="124"/>
      <c r="C311" s="29"/>
    </row>
    <row r="312">
      <c r="A312" s="146"/>
      <c r="B312" s="124"/>
      <c r="C312" s="29"/>
    </row>
    <row r="313">
      <c r="A313" s="146"/>
      <c r="B313" s="124"/>
      <c r="C313" s="29"/>
    </row>
    <row r="314">
      <c r="A314" s="146"/>
      <c r="B314" s="124"/>
      <c r="C314" s="29"/>
    </row>
    <row r="315">
      <c r="A315" s="146"/>
      <c r="B315" s="124"/>
      <c r="C315" s="29"/>
    </row>
    <row r="316">
      <c r="A316" s="146"/>
      <c r="B316" s="124"/>
      <c r="C316" s="29"/>
    </row>
    <row r="317">
      <c r="A317" s="146"/>
      <c r="B317" s="124"/>
      <c r="C317" s="29"/>
    </row>
    <row r="318">
      <c r="A318" s="146"/>
      <c r="B318" s="124"/>
      <c r="C318" s="29"/>
    </row>
    <row r="319">
      <c r="A319" s="146"/>
      <c r="B319" s="124"/>
      <c r="C319" s="29"/>
    </row>
    <row r="320">
      <c r="A320" s="146"/>
      <c r="B320" s="124"/>
      <c r="C320" s="29"/>
    </row>
    <row r="321">
      <c r="A321" s="146"/>
      <c r="B321" s="124"/>
      <c r="C321" s="29"/>
    </row>
    <row r="322">
      <c r="A322" s="146"/>
      <c r="B322" s="124"/>
      <c r="C322" s="29"/>
    </row>
    <row r="323">
      <c r="A323" s="146"/>
      <c r="B323" s="124"/>
      <c r="C323" s="29"/>
    </row>
    <row r="324">
      <c r="A324" s="146"/>
      <c r="B324" s="124"/>
      <c r="C324" s="29"/>
    </row>
    <row r="325">
      <c r="A325" s="146"/>
      <c r="B325" s="124"/>
      <c r="C325" s="29"/>
    </row>
    <row r="326">
      <c r="A326" s="146"/>
      <c r="B326" s="124"/>
      <c r="C326" s="29"/>
    </row>
    <row r="327">
      <c r="A327" s="146"/>
      <c r="B327" s="124"/>
      <c r="C327" s="29"/>
    </row>
    <row r="328">
      <c r="A328" s="146"/>
      <c r="B328" s="124"/>
      <c r="C328" s="29"/>
    </row>
    <row r="329">
      <c r="A329" s="146"/>
      <c r="B329" s="124"/>
      <c r="C329" s="29"/>
    </row>
    <row r="330">
      <c r="A330" s="146"/>
      <c r="B330" s="124"/>
      <c r="C330" s="29"/>
    </row>
    <row r="331">
      <c r="A331" s="146"/>
      <c r="B331" s="124"/>
      <c r="C331" s="29"/>
    </row>
    <row r="332">
      <c r="A332" s="146"/>
      <c r="B332" s="124"/>
      <c r="C332" s="29"/>
    </row>
    <row r="333">
      <c r="A333" s="146"/>
      <c r="B333" s="124"/>
      <c r="C333" s="29"/>
    </row>
    <row r="334">
      <c r="A334" s="146"/>
      <c r="B334" s="124"/>
      <c r="C334" s="29"/>
    </row>
    <row r="335">
      <c r="A335" s="146"/>
      <c r="B335" s="124"/>
      <c r="C335" s="29"/>
    </row>
    <row r="336">
      <c r="A336" s="146"/>
      <c r="B336" s="124"/>
      <c r="C336" s="29"/>
    </row>
    <row r="337">
      <c r="A337" s="146"/>
      <c r="B337" s="124"/>
      <c r="C337" s="29"/>
    </row>
    <row r="338">
      <c r="A338" s="146"/>
      <c r="B338" s="124"/>
      <c r="C338" s="29"/>
    </row>
    <row r="339">
      <c r="A339" s="146"/>
      <c r="B339" s="124"/>
      <c r="C339" s="29"/>
    </row>
    <row r="340">
      <c r="A340" s="146"/>
      <c r="B340" s="124"/>
      <c r="C340" s="29"/>
    </row>
    <row r="341">
      <c r="A341" s="146"/>
      <c r="B341" s="124"/>
      <c r="C341" s="29"/>
    </row>
    <row r="342">
      <c r="A342" s="146"/>
      <c r="B342" s="124"/>
      <c r="C342" s="29"/>
    </row>
    <row r="343">
      <c r="A343" s="146"/>
      <c r="B343" s="124"/>
      <c r="C343" s="29"/>
    </row>
    <row r="344">
      <c r="A344" s="146"/>
      <c r="B344" s="124"/>
      <c r="C344" s="29"/>
    </row>
    <row r="345">
      <c r="A345" s="146"/>
      <c r="B345" s="124"/>
      <c r="C345" s="29"/>
    </row>
    <row r="346">
      <c r="A346" s="146"/>
      <c r="B346" s="124"/>
      <c r="C346" s="29"/>
    </row>
    <row r="347">
      <c r="A347" s="146"/>
      <c r="B347" s="124"/>
      <c r="C347" s="29"/>
    </row>
    <row r="348">
      <c r="A348" s="146"/>
      <c r="B348" s="124"/>
      <c r="C348" s="29"/>
    </row>
    <row r="349">
      <c r="A349" s="146"/>
      <c r="B349" s="124"/>
      <c r="C349" s="29"/>
    </row>
    <row r="350">
      <c r="A350" s="146"/>
      <c r="B350" s="124"/>
      <c r="C350" s="29"/>
    </row>
    <row r="351">
      <c r="A351" s="146"/>
      <c r="B351" s="124"/>
      <c r="C351" s="29"/>
    </row>
    <row r="352">
      <c r="A352" s="146"/>
      <c r="B352" s="124"/>
      <c r="C352" s="29"/>
    </row>
    <row r="353">
      <c r="A353" s="146"/>
      <c r="B353" s="124"/>
      <c r="C353" s="29"/>
    </row>
    <row r="354">
      <c r="A354" s="146"/>
      <c r="B354" s="124"/>
      <c r="C354" s="29"/>
    </row>
    <row r="355">
      <c r="A355" s="146"/>
      <c r="B355" s="124"/>
      <c r="C355" s="29"/>
    </row>
    <row r="356">
      <c r="A356" s="146"/>
      <c r="B356" s="124"/>
      <c r="C356" s="29"/>
    </row>
    <row r="357">
      <c r="A357" s="146"/>
      <c r="B357" s="124"/>
      <c r="C357" s="29"/>
    </row>
    <row r="358">
      <c r="A358" s="146"/>
      <c r="B358" s="124"/>
      <c r="C358" s="29"/>
    </row>
    <row r="359">
      <c r="A359" s="146"/>
      <c r="B359" s="124"/>
      <c r="C359" s="29"/>
    </row>
    <row r="360">
      <c r="A360" s="146"/>
      <c r="B360" s="124"/>
      <c r="C360" s="29"/>
    </row>
    <row r="361">
      <c r="A361" s="146"/>
      <c r="B361" s="124"/>
      <c r="C361" s="29"/>
    </row>
    <row r="362">
      <c r="A362" s="146"/>
      <c r="B362" s="124"/>
      <c r="C362" s="29"/>
    </row>
    <row r="363">
      <c r="A363" s="146"/>
      <c r="B363" s="124"/>
      <c r="C363" s="29"/>
    </row>
    <row r="364">
      <c r="A364" s="146"/>
      <c r="B364" s="124"/>
      <c r="C364" s="29"/>
    </row>
    <row r="365">
      <c r="A365" s="146"/>
      <c r="B365" s="124"/>
      <c r="C365" s="29"/>
    </row>
    <row r="366">
      <c r="A366" s="146"/>
      <c r="B366" s="124"/>
      <c r="C366" s="29"/>
    </row>
    <row r="367">
      <c r="A367" s="146"/>
      <c r="B367" s="124"/>
      <c r="C367" s="29"/>
    </row>
    <row r="368">
      <c r="A368" s="146"/>
      <c r="B368" s="124"/>
      <c r="C368" s="29"/>
    </row>
    <row r="369">
      <c r="A369" s="146"/>
      <c r="B369" s="124"/>
      <c r="C369" s="29"/>
    </row>
    <row r="370">
      <c r="A370" s="146"/>
      <c r="B370" s="124"/>
      <c r="C370" s="29"/>
    </row>
    <row r="371">
      <c r="A371" s="146"/>
      <c r="B371" s="124"/>
      <c r="C371" s="29"/>
    </row>
    <row r="372">
      <c r="A372" s="146"/>
      <c r="B372" s="124"/>
      <c r="C372" s="29"/>
    </row>
    <row r="373">
      <c r="A373" s="146"/>
      <c r="B373" s="124"/>
      <c r="C373" s="29"/>
    </row>
    <row r="374">
      <c r="A374" s="146"/>
      <c r="B374" s="124"/>
      <c r="C374" s="29"/>
    </row>
    <row r="375">
      <c r="A375" s="146"/>
      <c r="B375" s="124"/>
      <c r="C375" s="29"/>
    </row>
    <row r="376">
      <c r="A376" s="146"/>
      <c r="B376" s="124"/>
      <c r="C376" s="29"/>
    </row>
    <row r="377">
      <c r="A377" s="146"/>
      <c r="B377" s="124"/>
      <c r="C377" s="29"/>
    </row>
    <row r="378">
      <c r="A378" s="146"/>
      <c r="B378" s="124"/>
      <c r="C378" s="29"/>
    </row>
    <row r="379">
      <c r="A379" s="146"/>
      <c r="B379" s="124"/>
      <c r="C379" s="29"/>
    </row>
    <row r="380">
      <c r="A380" s="146"/>
      <c r="B380" s="124"/>
      <c r="C380" s="29"/>
    </row>
    <row r="381">
      <c r="A381" s="146"/>
      <c r="B381" s="124"/>
      <c r="C381" s="29"/>
    </row>
    <row r="382">
      <c r="A382" s="146"/>
      <c r="B382" s="124"/>
      <c r="C382" s="29"/>
    </row>
    <row r="383">
      <c r="A383" s="146"/>
      <c r="B383" s="124"/>
      <c r="C383" s="29"/>
    </row>
    <row r="384">
      <c r="A384" s="146"/>
      <c r="B384" s="124"/>
      <c r="C384" s="29"/>
    </row>
    <row r="385">
      <c r="A385" s="146"/>
      <c r="B385" s="124"/>
      <c r="C385" s="29"/>
    </row>
    <row r="386">
      <c r="A386" s="146"/>
      <c r="B386" s="124"/>
      <c r="C386" s="29"/>
    </row>
    <row r="387">
      <c r="A387" s="146"/>
      <c r="B387" s="124"/>
      <c r="C387" s="29"/>
    </row>
    <row r="388">
      <c r="A388" s="146"/>
      <c r="B388" s="124"/>
      <c r="C388" s="29"/>
    </row>
    <row r="389">
      <c r="A389" s="146"/>
      <c r="B389" s="124"/>
      <c r="C389" s="29"/>
    </row>
    <row r="390">
      <c r="A390" s="146"/>
      <c r="B390" s="124"/>
      <c r="C390" s="29"/>
    </row>
    <row r="391">
      <c r="A391" s="146"/>
      <c r="B391" s="124"/>
      <c r="C391" s="29"/>
    </row>
    <row r="392">
      <c r="A392" s="146"/>
      <c r="B392" s="124"/>
      <c r="C392" s="29"/>
    </row>
    <row r="393">
      <c r="A393" s="146"/>
      <c r="B393" s="124"/>
      <c r="C393" s="29"/>
    </row>
    <row r="394">
      <c r="A394" s="146"/>
      <c r="B394" s="124"/>
      <c r="C394" s="29"/>
    </row>
    <row r="395">
      <c r="A395" s="146"/>
      <c r="B395" s="124"/>
      <c r="C395" s="29"/>
    </row>
    <row r="396">
      <c r="A396" s="146"/>
      <c r="B396" s="124"/>
      <c r="C396" s="29"/>
    </row>
    <row r="397">
      <c r="A397" s="146"/>
      <c r="B397" s="124"/>
      <c r="C397" s="29"/>
    </row>
    <row r="398">
      <c r="A398" s="146"/>
      <c r="B398" s="124"/>
      <c r="C398" s="29"/>
    </row>
    <row r="399">
      <c r="A399" s="146"/>
      <c r="B399" s="124"/>
      <c r="C399" s="29"/>
    </row>
    <row r="400">
      <c r="A400" s="146"/>
      <c r="B400" s="124"/>
      <c r="C400" s="29"/>
    </row>
    <row r="401">
      <c r="A401" s="146"/>
      <c r="B401" s="124"/>
      <c r="C401" s="29"/>
    </row>
    <row r="402">
      <c r="A402" s="146"/>
      <c r="B402" s="124"/>
      <c r="C402" s="29"/>
    </row>
    <row r="403">
      <c r="A403" s="146"/>
      <c r="B403" s="124"/>
      <c r="C403" s="29"/>
    </row>
    <row r="404">
      <c r="A404" s="146"/>
      <c r="B404" s="124"/>
      <c r="C404" s="29"/>
    </row>
    <row r="405">
      <c r="A405" s="146"/>
      <c r="B405" s="124"/>
      <c r="C405" s="29"/>
    </row>
    <row r="406">
      <c r="A406" s="146"/>
      <c r="B406" s="124"/>
      <c r="C406" s="29"/>
    </row>
    <row r="407">
      <c r="A407" s="146"/>
      <c r="B407" s="124"/>
      <c r="C407" s="29"/>
    </row>
    <row r="408">
      <c r="A408" s="146"/>
      <c r="B408" s="124"/>
      <c r="C408" s="29"/>
    </row>
    <row r="409">
      <c r="A409" s="146"/>
      <c r="B409" s="124"/>
      <c r="C409" s="29"/>
    </row>
    <row r="410">
      <c r="A410" s="146"/>
      <c r="B410" s="124"/>
      <c r="C410" s="29"/>
    </row>
    <row r="411">
      <c r="A411" s="146"/>
      <c r="B411" s="124"/>
      <c r="C411" s="29"/>
    </row>
    <row r="412">
      <c r="A412" s="146"/>
      <c r="B412" s="124"/>
      <c r="C412" s="29"/>
    </row>
    <row r="413">
      <c r="A413" s="146"/>
      <c r="B413" s="124"/>
      <c r="C413" s="29"/>
    </row>
    <row r="414">
      <c r="A414" s="146"/>
      <c r="B414" s="124"/>
      <c r="C414" s="29"/>
    </row>
    <row r="415">
      <c r="A415" s="146"/>
      <c r="B415" s="124"/>
      <c r="C415" s="29"/>
    </row>
    <row r="416">
      <c r="A416" s="146"/>
      <c r="B416" s="124"/>
      <c r="C416" s="29"/>
    </row>
    <row r="417">
      <c r="A417" s="146"/>
      <c r="B417" s="124"/>
      <c r="C417" s="29"/>
    </row>
    <row r="418">
      <c r="A418" s="146"/>
      <c r="B418" s="124"/>
      <c r="C418" s="29"/>
    </row>
    <row r="419">
      <c r="A419" s="146"/>
      <c r="B419" s="124"/>
      <c r="C419" s="29"/>
    </row>
    <row r="420">
      <c r="A420" s="146"/>
      <c r="B420" s="124"/>
      <c r="C420" s="29"/>
    </row>
    <row r="421">
      <c r="A421" s="146"/>
      <c r="B421" s="124"/>
      <c r="C421" s="29"/>
    </row>
    <row r="422">
      <c r="A422" s="146"/>
      <c r="B422" s="124"/>
      <c r="C422" s="29"/>
    </row>
    <row r="423">
      <c r="A423" s="146"/>
      <c r="B423" s="124"/>
      <c r="C423" s="29"/>
    </row>
    <row r="424">
      <c r="A424" s="146"/>
      <c r="B424" s="124"/>
      <c r="C424" s="29"/>
    </row>
    <row r="425">
      <c r="A425" s="146"/>
      <c r="B425" s="124"/>
      <c r="C425" s="29"/>
    </row>
    <row r="426">
      <c r="A426" s="146"/>
      <c r="B426" s="124"/>
      <c r="C426" s="29"/>
    </row>
    <row r="427">
      <c r="A427" s="146"/>
      <c r="B427" s="124"/>
      <c r="C427" s="29"/>
    </row>
    <row r="428">
      <c r="A428" s="146"/>
      <c r="B428" s="124"/>
      <c r="C428" s="29"/>
    </row>
    <row r="429">
      <c r="A429" s="146"/>
      <c r="B429" s="124"/>
      <c r="C429" s="29"/>
    </row>
    <row r="430">
      <c r="A430" s="146"/>
      <c r="B430" s="124"/>
      <c r="C430" s="29"/>
    </row>
    <row r="431">
      <c r="A431" s="146"/>
      <c r="B431" s="124"/>
      <c r="C431" s="29"/>
    </row>
    <row r="432">
      <c r="A432" s="146"/>
      <c r="B432" s="124"/>
      <c r="C432" s="29"/>
    </row>
    <row r="433">
      <c r="A433" s="146"/>
      <c r="B433" s="124"/>
      <c r="C433" s="29"/>
    </row>
    <row r="434">
      <c r="A434" s="146"/>
      <c r="B434" s="124"/>
      <c r="C434" s="29"/>
    </row>
    <row r="435">
      <c r="A435" s="146"/>
      <c r="B435" s="124"/>
      <c r="C435" s="29"/>
    </row>
    <row r="436">
      <c r="A436" s="146"/>
      <c r="B436" s="124"/>
      <c r="C436" s="29"/>
    </row>
    <row r="437">
      <c r="A437" s="146"/>
      <c r="B437" s="124"/>
      <c r="C437" s="29"/>
    </row>
    <row r="438">
      <c r="A438" s="146"/>
      <c r="B438" s="124"/>
      <c r="C438" s="29"/>
    </row>
    <row r="439">
      <c r="A439" s="146"/>
      <c r="B439" s="124"/>
      <c r="C439" s="29"/>
    </row>
    <row r="440">
      <c r="A440" s="146"/>
      <c r="B440" s="124"/>
      <c r="C440" s="29"/>
    </row>
    <row r="441">
      <c r="A441" s="146"/>
      <c r="B441" s="124"/>
      <c r="C441" s="29"/>
    </row>
    <row r="442">
      <c r="A442" s="146"/>
      <c r="B442" s="124"/>
      <c r="C442" s="29"/>
    </row>
    <row r="443">
      <c r="A443" s="146"/>
      <c r="B443" s="124"/>
      <c r="C443" s="29"/>
    </row>
    <row r="444">
      <c r="A444" s="146"/>
      <c r="B444" s="124"/>
      <c r="C444" s="29"/>
    </row>
    <row r="445">
      <c r="A445" s="146"/>
      <c r="B445" s="124"/>
      <c r="C445" s="29"/>
    </row>
    <row r="446">
      <c r="A446" s="146"/>
      <c r="B446" s="124"/>
      <c r="C446" s="29"/>
    </row>
    <row r="447">
      <c r="A447" s="146"/>
      <c r="B447" s="124"/>
      <c r="C447" s="29"/>
    </row>
    <row r="448">
      <c r="A448" s="146"/>
      <c r="B448" s="124"/>
      <c r="C448" s="29"/>
    </row>
    <row r="449">
      <c r="A449" s="146"/>
      <c r="B449" s="124"/>
      <c r="C449" s="29"/>
    </row>
    <row r="450">
      <c r="A450" s="146"/>
      <c r="B450" s="124"/>
      <c r="C450" s="29"/>
    </row>
    <row r="451">
      <c r="A451" s="146"/>
      <c r="B451" s="124"/>
      <c r="C451" s="29"/>
    </row>
    <row r="452">
      <c r="A452" s="146"/>
      <c r="B452" s="124"/>
      <c r="C452" s="29"/>
    </row>
    <row r="453">
      <c r="A453" s="146"/>
      <c r="B453" s="124"/>
      <c r="C453" s="29"/>
    </row>
    <row r="454">
      <c r="A454" s="146"/>
      <c r="B454" s="124"/>
      <c r="C454" s="29"/>
    </row>
    <row r="455">
      <c r="A455" s="146"/>
      <c r="B455" s="124"/>
      <c r="C455" s="29"/>
    </row>
    <row r="456">
      <c r="A456" s="146"/>
      <c r="B456" s="124"/>
      <c r="C456" s="29"/>
    </row>
    <row r="457">
      <c r="A457" s="146"/>
      <c r="B457" s="124"/>
      <c r="C457" s="29"/>
    </row>
    <row r="458">
      <c r="A458" s="146"/>
      <c r="B458" s="124"/>
      <c r="C458" s="29"/>
    </row>
    <row r="459">
      <c r="A459" s="146"/>
      <c r="B459" s="124"/>
      <c r="C459" s="29"/>
    </row>
    <row r="460">
      <c r="A460" s="146"/>
      <c r="B460" s="124"/>
      <c r="C460" s="29"/>
    </row>
    <row r="461">
      <c r="A461" s="146"/>
      <c r="B461" s="124"/>
      <c r="C461" s="29"/>
    </row>
    <row r="462">
      <c r="A462" s="146"/>
      <c r="B462" s="124"/>
      <c r="C462" s="29"/>
    </row>
    <row r="463">
      <c r="A463" s="146"/>
      <c r="B463" s="124"/>
      <c r="C463" s="29"/>
    </row>
    <row r="464">
      <c r="A464" s="146"/>
      <c r="B464" s="124"/>
      <c r="C464" s="29"/>
    </row>
    <row r="465">
      <c r="A465" s="146"/>
      <c r="B465" s="124"/>
      <c r="C465" s="29"/>
    </row>
    <row r="466">
      <c r="A466" s="146"/>
      <c r="B466" s="124"/>
      <c r="C466" s="29"/>
    </row>
    <row r="467">
      <c r="A467" s="146"/>
      <c r="B467" s="124"/>
      <c r="C467" s="29"/>
    </row>
    <row r="468">
      <c r="A468" s="146"/>
      <c r="B468" s="124"/>
      <c r="C468" s="29"/>
    </row>
    <row r="469">
      <c r="A469" s="146"/>
      <c r="B469" s="124"/>
      <c r="C469" s="29"/>
    </row>
    <row r="470">
      <c r="A470" s="146"/>
      <c r="B470" s="124"/>
      <c r="C470" s="29"/>
    </row>
    <row r="471">
      <c r="A471" s="146"/>
      <c r="B471" s="124"/>
      <c r="C471" s="29"/>
    </row>
    <row r="472">
      <c r="A472" s="146"/>
      <c r="B472" s="124"/>
      <c r="C472" s="29"/>
    </row>
    <row r="473">
      <c r="A473" s="146"/>
      <c r="B473" s="124"/>
      <c r="C473" s="29"/>
    </row>
    <row r="474">
      <c r="A474" s="146"/>
      <c r="B474" s="124"/>
      <c r="C474" s="29"/>
    </row>
    <row r="475">
      <c r="A475" s="146"/>
      <c r="B475" s="124"/>
      <c r="C475" s="29"/>
    </row>
    <row r="476">
      <c r="A476" s="146"/>
      <c r="B476" s="124"/>
      <c r="C476" s="29"/>
    </row>
    <row r="477">
      <c r="A477" s="146"/>
      <c r="B477" s="124"/>
      <c r="C477" s="29"/>
    </row>
    <row r="478">
      <c r="A478" s="146"/>
      <c r="B478" s="124"/>
      <c r="C478" s="29"/>
    </row>
    <row r="479">
      <c r="A479" s="146"/>
      <c r="B479" s="124"/>
      <c r="C479" s="29"/>
    </row>
    <row r="480">
      <c r="A480" s="146"/>
      <c r="B480" s="124"/>
      <c r="C480" s="29"/>
    </row>
    <row r="481">
      <c r="A481" s="146"/>
      <c r="B481" s="124"/>
      <c r="C481" s="29"/>
    </row>
    <row r="482">
      <c r="A482" s="146"/>
      <c r="B482" s="124"/>
      <c r="C482" s="29"/>
    </row>
    <row r="483">
      <c r="A483" s="146"/>
      <c r="B483" s="124"/>
      <c r="C483" s="29"/>
    </row>
    <row r="484">
      <c r="A484" s="146"/>
      <c r="B484" s="124"/>
      <c r="C484" s="29"/>
    </row>
    <row r="485">
      <c r="A485" s="146"/>
      <c r="B485" s="124"/>
      <c r="C485" s="29"/>
    </row>
    <row r="486">
      <c r="A486" s="146"/>
      <c r="B486" s="124"/>
      <c r="C486" s="29"/>
    </row>
    <row r="487">
      <c r="A487" s="146"/>
      <c r="B487" s="124"/>
      <c r="C487" s="29"/>
    </row>
    <row r="488">
      <c r="A488" s="146"/>
      <c r="B488" s="124"/>
      <c r="C488" s="29"/>
    </row>
    <row r="489">
      <c r="A489" s="146"/>
      <c r="B489" s="124"/>
      <c r="C489" s="29"/>
    </row>
    <row r="490">
      <c r="A490" s="146"/>
      <c r="B490" s="124"/>
      <c r="C490" s="29"/>
    </row>
    <row r="491">
      <c r="A491" s="146"/>
      <c r="B491" s="124"/>
      <c r="C491" s="29"/>
    </row>
    <row r="492">
      <c r="A492" s="146"/>
      <c r="B492" s="124"/>
      <c r="C492" s="29"/>
    </row>
    <row r="493">
      <c r="A493" s="146"/>
      <c r="B493" s="124"/>
      <c r="C493" s="29"/>
    </row>
    <row r="494">
      <c r="A494" s="146"/>
      <c r="B494" s="124"/>
      <c r="C494" s="29"/>
    </row>
    <row r="495">
      <c r="A495" s="146"/>
      <c r="B495" s="124"/>
      <c r="C495" s="29"/>
    </row>
    <row r="496">
      <c r="A496" s="146"/>
      <c r="B496" s="124"/>
      <c r="C496" s="29"/>
    </row>
    <row r="497">
      <c r="A497" s="146"/>
      <c r="B497" s="124"/>
      <c r="C497" s="29"/>
    </row>
    <row r="498">
      <c r="A498" s="146"/>
      <c r="B498" s="124"/>
      <c r="C498" s="29"/>
    </row>
    <row r="499">
      <c r="A499" s="146"/>
      <c r="B499" s="124"/>
      <c r="C499" s="29"/>
    </row>
    <row r="500">
      <c r="A500" s="146"/>
      <c r="B500" s="124"/>
      <c r="C500" s="29"/>
    </row>
    <row r="501">
      <c r="A501" s="146"/>
      <c r="B501" s="124"/>
      <c r="C501" s="29"/>
    </row>
    <row r="502">
      <c r="A502" s="146"/>
      <c r="B502" s="124"/>
      <c r="C502" s="29"/>
    </row>
    <row r="503">
      <c r="A503" s="146"/>
      <c r="B503" s="124"/>
      <c r="C503" s="29"/>
    </row>
    <row r="504">
      <c r="A504" s="146"/>
      <c r="B504" s="124"/>
      <c r="C504" s="29"/>
    </row>
    <row r="505">
      <c r="A505" s="146"/>
      <c r="B505" s="124"/>
      <c r="C505" s="29"/>
    </row>
    <row r="506">
      <c r="A506" s="146"/>
      <c r="B506" s="124"/>
      <c r="C506" s="29"/>
    </row>
    <row r="507">
      <c r="A507" s="146"/>
      <c r="B507" s="124"/>
      <c r="C507" s="29"/>
    </row>
    <row r="508">
      <c r="A508" s="146"/>
      <c r="B508" s="124"/>
      <c r="C508" s="29"/>
    </row>
    <row r="509">
      <c r="A509" s="146"/>
      <c r="B509" s="124"/>
      <c r="C509" s="29"/>
    </row>
    <row r="510">
      <c r="A510" s="146"/>
      <c r="B510" s="124"/>
      <c r="C510" s="29"/>
    </row>
    <row r="511">
      <c r="A511" s="146"/>
      <c r="B511" s="124"/>
      <c r="C511" s="29"/>
    </row>
    <row r="512">
      <c r="A512" s="146"/>
      <c r="B512" s="124"/>
      <c r="C512" s="29"/>
    </row>
    <row r="513">
      <c r="A513" s="146"/>
      <c r="B513" s="124"/>
      <c r="C513" s="29"/>
    </row>
    <row r="514">
      <c r="A514" s="146"/>
      <c r="B514" s="124"/>
      <c r="C514" s="29"/>
    </row>
    <row r="515">
      <c r="A515" s="146"/>
      <c r="B515" s="124"/>
      <c r="C515" s="29"/>
    </row>
    <row r="516">
      <c r="A516" s="146"/>
      <c r="B516" s="124"/>
      <c r="C516" s="29"/>
    </row>
    <row r="517">
      <c r="A517" s="146"/>
      <c r="B517" s="124"/>
      <c r="C517" s="29"/>
    </row>
    <row r="518">
      <c r="A518" s="146"/>
      <c r="B518" s="124"/>
      <c r="C518" s="29"/>
    </row>
    <row r="519">
      <c r="A519" s="146"/>
      <c r="B519" s="124"/>
      <c r="C519" s="29"/>
    </row>
    <row r="520">
      <c r="A520" s="146"/>
      <c r="B520" s="124"/>
      <c r="C520" s="29"/>
    </row>
    <row r="521">
      <c r="A521" s="146"/>
      <c r="B521" s="124"/>
      <c r="C521" s="29"/>
    </row>
    <row r="522">
      <c r="A522" s="146"/>
      <c r="B522" s="124"/>
      <c r="C522" s="29"/>
    </row>
    <row r="523">
      <c r="A523" s="146"/>
      <c r="B523" s="124"/>
      <c r="C523" s="29"/>
    </row>
    <row r="524">
      <c r="A524" s="146"/>
      <c r="B524" s="124"/>
      <c r="C524" s="29"/>
    </row>
    <row r="525">
      <c r="A525" s="146"/>
      <c r="B525" s="124"/>
      <c r="C525" s="29"/>
    </row>
    <row r="526">
      <c r="A526" s="146"/>
      <c r="B526" s="124"/>
      <c r="C526" s="29"/>
    </row>
    <row r="527">
      <c r="A527" s="146"/>
      <c r="B527" s="124"/>
      <c r="C527" s="29"/>
    </row>
    <row r="528">
      <c r="A528" s="146"/>
      <c r="B528" s="124"/>
      <c r="C528" s="29"/>
    </row>
    <row r="529">
      <c r="A529" s="146"/>
      <c r="B529" s="124"/>
      <c r="C529" s="29"/>
    </row>
    <row r="530">
      <c r="A530" s="146"/>
      <c r="B530" s="124"/>
      <c r="C530" s="29"/>
    </row>
    <row r="531">
      <c r="A531" s="146"/>
      <c r="B531" s="124"/>
      <c r="C531" s="29"/>
    </row>
    <row r="532">
      <c r="A532" s="146"/>
      <c r="B532" s="124"/>
      <c r="C532" s="29"/>
    </row>
    <row r="533">
      <c r="A533" s="146"/>
      <c r="B533" s="124"/>
      <c r="C533" s="29"/>
    </row>
    <row r="534">
      <c r="A534" s="146"/>
      <c r="B534" s="124"/>
      <c r="C534" s="29"/>
    </row>
    <row r="535">
      <c r="A535" s="146"/>
      <c r="B535" s="124"/>
      <c r="C535" s="29"/>
    </row>
    <row r="536">
      <c r="A536" s="146"/>
      <c r="B536" s="124"/>
      <c r="C536" s="29"/>
    </row>
    <row r="537">
      <c r="A537" s="146"/>
      <c r="B537" s="124"/>
      <c r="C537" s="29"/>
    </row>
    <row r="538">
      <c r="A538" s="146"/>
      <c r="B538" s="124"/>
      <c r="C538" s="29"/>
    </row>
    <row r="539">
      <c r="A539" s="146"/>
      <c r="B539" s="124"/>
      <c r="C539" s="29"/>
    </row>
    <row r="540">
      <c r="A540" s="146"/>
      <c r="B540" s="124"/>
      <c r="C540" s="29"/>
    </row>
    <row r="541">
      <c r="A541" s="146"/>
      <c r="B541" s="124"/>
      <c r="C541" s="29"/>
    </row>
    <row r="542">
      <c r="A542" s="146"/>
      <c r="B542" s="124"/>
      <c r="C542" s="29"/>
    </row>
    <row r="543">
      <c r="A543" s="146"/>
      <c r="B543" s="124"/>
      <c r="C543" s="29"/>
    </row>
    <row r="544">
      <c r="A544" s="146"/>
      <c r="B544" s="124"/>
      <c r="C544" s="29"/>
    </row>
    <row r="545">
      <c r="A545" s="146"/>
      <c r="B545" s="124"/>
      <c r="C545" s="29"/>
    </row>
    <row r="546">
      <c r="A546" s="146"/>
      <c r="B546" s="124"/>
      <c r="C546" s="29"/>
    </row>
    <row r="547">
      <c r="A547" s="146"/>
      <c r="B547" s="124"/>
      <c r="C547" s="29"/>
    </row>
    <row r="548">
      <c r="A548" s="146"/>
      <c r="B548" s="124"/>
      <c r="C548" s="29"/>
    </row>
    <row r="549">
      <c r="A549" s="146"/>
      <c r="B549" s="124"/>
      <c r="C549" s="29"/>
    </row>
    <row r="550">
      <c r="A550" s="146"/>
      <c r="B550" s="124"/>
      <c r="C550" s="29"/>
    </row>
    <row r="551">
      <c r="A551" s="146"/>
      <c r="B551" s="124"/>
      <c r="C551" s="29"/>
    </row>
    <row r="552">
      <c r="A552" s="146"/>
      <c r="B552" s="124"/>
      <c r="C552" s="29"/>
    </row>
    <row r="553">
      <c r="A553" s="146"/>
      <c r="B553" s="124"/>
      <c r="C553" s="29"/>
    </row>
    <row r="554">
      <c r="A554" s="146"/>
      <c r="B554" s="124"/>
      <c r="C554" s="29"/>
    </row>
    <row r="555">
      <c r="A555" s="146"/>
      <c r="B555" s="124"/>
      <c r="C555" s="29"/>
    </row>
    <row r="556">
      <c r="A556" s="146"/>
      <c r="B556" s="124"/>
      <c r="C556" s="29"/>
    </row>
    <row r="557">
      <c r="A557" s="146"/>
      <c r="B557" s="124"/>
      <c r="C557" s="29"/>
    </row>
    <row r="558">
      <c r="A558" s="146"/>
      <c r="B558" s="124"/>
      <c r="C558" s="29"/>
    </row>
    <row r="559">
      <c r="A559" s="146"/>
      <c r="B559" s="124"/>
      <c r="C559" s="29"/>
    </row>
    <row r="560">
      <c r="A560" s="146"/>
      <c r="B560" s="124"/>
      <c r="C560" s="29"/>
    </row>
    <row r="561">
      <c r="A561" s="146"/>
      <c r="B561" s="124"/>
      <c r="C561" s="29"/>
    </row>
    <row r="562">
      <c r="A562" s="146"/>
      <c r="B562" s="124"/>
      <c r="C562" s="29"/>
    </row>
    <row r="563">
      <c r="A563" s="146"/>
      <c r="B563" s="124"/>
      <c r="C563" s="29"/>
    </row>
    <row r="564">
      <c r="A564" s="146"/>
      <c r="B564" s="124"/>
      <c r="C564" s="29"/>
    </row>
    <row r="565">
      <c r="A565" s="146"/>
      <c r="B565" s="124"/>
      <c r="C565" s="29"/>
    </row>
    <row r="566">
      <c r="A566" s="146"/>
      <c r="B566" s="124"/>
      <c r="C566" s="29"/>
    </row>
    <row r="567">
      <c r="A567" s="146"/>
      <c r="B567" s="124"/>
      <c r="C567" s="29"/>
    </row>
    <row r="568">
      <c r="A568" s="146"/>
      <c r="B568" s="124"/>
      <c r="C568" s="29"/>
    </row>
    <row r="569">
      <c r="A569" s="146"/>
      <c r="B569" s="124"/>
      <c r="C569" s="29"/>
    </row>
    <row r="570">
      <c r="A570" s="146"/>
      <c r="B570" s="124"/>
      <c r="C570" s="29"/>
    </row>
    <row r="571">
      <c r="A571" s="146"/>
      <c r="B571" s="124"/>
      <c r="C571" s="29"/>
    </row>
    <row r="572">
      <c r="A572" s="146"/>
      <c r="B572" s="124"/>
      <c r="C572" s="29"/>
    </row>
    <row r="573">
      <c r="A573" s="146"/>
      <c r="B573" s="124"/>
      <c r="C573" s="29"/>
    </row>
    <row r="574">
      <c r="A574" s="146"/>
      <c r="B574" s="124"/>
      <c r="C574" s="29"/>
    </row>
    <row r="575">
      <c r="A575" s="146"/>
      <c r="B575" s="124"/>
      <c r="C575" s="29"/>
    </row>
    <row r="576">
      <c r="A576" s="146"/>
      <c r="B576" s="124"/>
      <c r="C576" s="29"/>
    </row>
    <row r="577">
      <c r="A577" s="146"/>
      <c r="B577" s="124"/>
      <c r="C577" s="29"/>
    </row>
    <row r="578">
      <c r="A578" s="146"/>
      <c r="B578" s="124"/>
      <c r="C578" s="29"/>
    </row>
    <row r="579">
      <c r="A579" s="146"/>
      <c r="B579" s="124"/>
      <c r="C579" s="29"/>
    </row>
    <row r="580">
      <c r="A580" s="146"/>
      <c r="B580" s="124"/>
      <c r="C580" s="29"/>
    </row>
    <row r="581">
      <c r="A581" s="146"/>
      <c r="B581" s="124"/>
      <c r="C581" s="29"/>
    </row>
    <row r="582">
      <c r="A582" s="146"/>
      <c r="B582" s="124"/>
      <c r="C582" s="29"/>
    </row>
    <row r="583">
      <c r="A583" s="146"/>
      <c r="B583" s="124"/>
      <c r="C583" s="29"/>
    </row>
    <row r="584">
      <c r="A584" s="146"/>
      <c r="B584" s="124"/>
      <c r="C584" s="29"/>
    </row>
    <row r="585">
      <c r="A585" s="146"/>
      <c r="B585" s="124"/>
      <c r="C585" s="29"/>
    </row>
    <row r="586">
      <c r="A586" s="146"/>
      <c r="B586" s="124"/>
      <c r="C586" s="29"/>
    </row>
    <row r="587">
      <c r="A587" s="146"/>
      <c r="B587" s="124"/>
      <c r="C587" s="29"/>
    </row>
    <row r="588">
      <c r="A588" s="146"/>
      <c r="B588" s="124"/>
      <c r="C588" s="29"/>
    </row>
    <row r="589">
      <c r="A589" s="146"/>
      <c r="B589" s="124"/>
      <c r="C589" s="29"/>
    </row>
    <row r="590">
      <c r="A590" s="146"/>
      <c r="B590" s="124"/>
      <c r="C590" s="29"/>
    </row>
    <row r="591">
      <c r="A591" s="146"/>
      <c r="B591" s="124"/>
      <c r="C591" s="29"/>
    </row>
    <row r="592">
      <c r="A592" s="146"/>
      <c r="B592" s="124"/>
      <c r="C592" s="29"/>
    </row>
    <row r="593">
      <c r="A593" s="146"/>
      <c r="B593" s="124"/>
      <c r="C593" s="29"/>
    </row>
    <row r="594">
      <c r="A594" s="146"/>
      <c r="B594" s="124"/>
      <c r="C594" s="29"/>
    </row>
    <row r="595">
      <c r="A595" s="146"/>
      <c r="B595" s="124"/>
      <c r="C595" s="29"/>
    </row>
    <row r="596">
      <c r="A596" s="146"/>
      <c r="B596" s="124"/>
      <c r="C596" s="29"/>
    </row>
    <row r="597">
      <c r="A597" s="146"/>
      <c r="B597" s="124"/>
      <c r="C597" s="29"/>
    </row>
    <row r="598">
      <c r="A598" s="146"/>
      <c r="B598" s="124"/>
      <c r="C598" s="29"/>
    </row>
    <row r="599">
      <c r="A599" s="146"/>
      <c r="B599" s="124"/>
      <c r="C599" s="29"/>
    </row>
    <row r="600">
      <c r="A600" s="146"/>
      <c r="B600" s="124"/>
      <c r="C600" s="29"/>
    </row>
    <row r="601">
      <c r="A601" s="146"/>
      <c r="B601" s="124"/>
      <c r="C601" s="29"/>
    </row>
    <row r="602">
      <c r="A602" s="146"/>
      <c r="B602" s="124"/>
      <c r="C602" s="29"/>
    </row>
    <row r="603">
      <c r="A603" s="146"/>
      <c r="B603" s="124"/>
      <c r="C603" s="29"/>
    </row>
    <row r="604">
      <c r="A604" s="146"/>
      <c r="B604" s="124"/>
      <c r="C604" s="29"/>
    </row>
    <row r="605">
      <c r="A605" s="146"/>
      <c r="B605" s="124"/>
      <c r="C605" s="29"/>
    </row>
    <row r="606">
      <c r="A606" s="146"/>
      <c r="B606" s="124"/>
      <c r="C606" s="29"/>
    </row>
    <row r="607">
      <c r="A607" s="146"/>
      <c r="B607" s="124"/>
      <c r="C607" s="29"/>
    </row>
    <row r="608">
      <c r="A608" s="146"/>
      <c r="B608" s="124"/>
      <c r="C608" s="29"/>
    </row>
    <row r="609">
      <c r="A609" s="146"/>
      <c r="B609" s="124"/>
      <c r="C609" s="29"/>
    </row>
    <row r="610">
      <c r="A610" s="146"/>
      <c r="B610" s="124"/>
      <c r="C610" s="29"/>
    </row>
    <row r="611">
      <c r="A611" s="146"/>
      <c r="B611" s="124"/>
      <c r="C611" s="29"/>
    </row>
    <row r="612">
      <c r="A612" s="146"/>
      <c r="B612" s="124"/>
      <c r="C612" s="29"/>
    </row>
    <row r="613">
      <c r="A613" s="146"/>
      <c r="B613" s="124"/>
      <c r="C613" s="29"/>
    </row>
    <row r="614">
      <c r="A614" s="146"/>
      <c r="B614" s="124"/>
      <c r="C614" s="29"/>
    </row>
    <row r="615">
      <c r="A615" s="146"/>
      <c r="B615" s="124"/>
      <c r="C615" s="29"/>
    </row>
    <row r="616">
      <c r="A616" s="146"/>
      <c r="B616" s="124"/>
      <c r="C616" s="29"/>
    </row>
    <row r="617">
      <c r="A617" s="146"/>
      <c r="B617" s="124"/>
      <c r="C617" s="29"/>
    </row>
    <row r="618">
      <c r="A618" s="146"/>
      <c r="B618" s="124"/>
      <c r="C618" s="29"/>
    </row>
    <row r="619">
      <c r="A619" s="146"/>
      <c r="B619" s="124"/>
      <c r="C619" s="29"/>
    </row>
    <row r="620">
      <c r="A620" s="146"/>
      <c r="B620" s="124"/>
      <c r="C620" s="29"/>
    </row>
    <row r="621">
      <c r="A621" s="146"/>
      <c r="B621" s="124"/>
      <c r="C621" s="29"/>
    </row>
    <row r="622">
      <c r="A622" s="146"/>
      <c r="B622" s="124"/>
      <c r="C622" s="29"/>
    </row>
    <row r="623">
      <c r="A623" s="146"/>
      <c r="B623" s="124"/>
      <c r="C623" s="29"/>
    </row>
    <row r="624">
      <c r="A624" s="146"/>
      <c r="B624" s="124"/>
      <c r="C624" s="29"/>
    </row>
    <row r="625">
      <c r="A625" s="146"/>
      <c r="B625" s="124"/>
      <c r="C625" s="29"/>
    </row>
    <row r="626">
      <c r="A626" s="146"/>
      <c r="B626" s="124"/>
      <c r="C626" s="29"/>
    </row>
    <row r="627">
      <c r="A627" s="146"/>
      <c r="B627" s="124"/>
      <c r="C627" s="29"/>
    </row>
    <row r="628">
      <c r="A628" s="146"/>
      <c r="B628" s="124"/>
      <c r="C628" s="29"/>
    </row>
    <row r="629">
      <c r="A629" s="146"/>
      <c r="B629" s="124"/>
      <c r="C629" s="29"/>
    </row>
    <row r="630">
      <c r="A630" s="146"/>
      <c r="B630" s="124"/>
      <c r="C630" s="29"/>
    </row>
    <row r="631">
      <c r="A631" s="146"/>
      <c r="B631" s="124"/>
      <c r="C631" s="29"/>
    </row>
    <row r="632">
      <c r="A632" s="146"/>
      <c r="B632" s="124"/>
      <c r="C632" s="29"/>
    </row>
    <row r="633">
      <c r="A633" s="146"/>
      <c r="B633" s="124"/>
      <c r="C633" s="29"/>
    </row>
    <row r="634">
      <c r="A634" s="146"/>
      <c r="B634" s="124"/>
      <c r="C634" s="29"/>
    </row>
    <row r="635">
      <c r="A635" s="146"/>
      <c r="B635" s="124"/>
      <c r="C635" s="29"/>
    </row>
    <row r="636">
      <c r="A636" s="146"/>
      <c r="B636" s="124"/>
      <c r="C636" s="29"/>
    </row>
    <row r="637">
      <c r="A637" s="146"/>
      <c r="B637" s="124"/>
      <c r="C637" s="29"/>
    </row>
    <row r="638">
      <c r="A638" s="146"/>
      <c r="B638" s="124"/>
      <c r="C638" s="29"/>
    </row>
    <row r="639">
      <c r="A639" s="146"/>
      <c r="B639" s="124"/>
      <c r="C639" s="29"/>
    </row>
    <row r="640">
      <c r="A640" s="146"/>
      <c r="B640" s="124"/>
      <c r="C640" s="29"/>
    </row>
    <row r="641">
      <c r="A641" s="146"/>
      <c r="B641" s="124"/>
      <c r="C641" s="29"/>
    </row>
    <row r="642">
      <c r="A642" s="146"/>
      <c r="B642" s="124"/>
      <c r="C642" s="29"/>
    </row>
    <row r="643">
      <c r="A643" s="146"/>
      <c r="B643" s="124"/>
      <c r="C643" s="29"/>
    </row>
    <row r="644">
      <c r="A644" s="146"/>
      <c r="B644" s="124"/>
      <c r="C644" s="29"/>
    </row>
    <row r="645">
      <c r="A645" s="146"/>
      <c r="B645" s="124"/>
      <c r="C645" s="29"/>
    </row>
    <row r="646">
      <c r="A646" s="146"/>
      <c r="B646" s="124"/>
      <c r="C646" s="29"/>
    </row>
    <row r="647">
      <c r="A647" s="146"/>
      <c r="B647" s="124"/>
      <c r="C647" s="29"/>
    </row>
    <row r="648">
      <c r="A648" s="146"/>
      <c r="B648" s="124"/>
      <c r="C648" s="29"/>
    </row>
    <row r="649">
      <c r="A649" s="146"/>
      <c r="B649" s="124"/>
      <c r="C649" s="29"/>
    </row>
    <row r="650">
      <c r="A650" s="146"/>
      <c r="B650" s="124"/>
      <c r="C650" s="29"/>
    </row>
    <row r="651">
      <c r="A651" s="146"/>
      <c r="B651" s="124"/>
      <c r="C651" s="29"/>
    </row>
    <row r="652">
      <c r="A652" s="146"/>
      <c r="B652" s="124"/>
      <c r="C652" s="29"/>
    </row>
    <row r="653">
      <c r="A653" s="146"/>
      <c r="B653" s="124"/>
      <c r="C653" s="29"/>
    </row>
    <row r="654">
      <c r="A654" s="146"/>
      <c r="B654" s="124"/>
      <c r="C654" s="29"/>
    </row>
    <row r="655">
      <c r="A655" s="146"/>
      <c r="B655" s="124"/>
      <c r="C655" s="29"/>
    </row>
    <row r="656">
      <c r="A656" s="146"/>
      <c r="B656" s="124"/>
      <c r="C656" s="29"/>
    </row>
    <row r="657">
      <c r="A657" s="146"/>
      <c r="B657" s="124"/>
      <c r="C657" s="29"/>
    </row>
    <row r="658">
      <c r="A658" s="146"/>
      <c r="B658" s="124"/>
      <c r="C658" s="29"/>
    </row>
    <row r="659">
      <c r="A659" s="146"/>
      <c r="B659" s="124"/>
      <c r="C659" s="29"/>
    </row>
    <row r="660">
      <c r="A660" s="146"/>
      <c r="B660" s="124"/>
      <c r="C660" s="29"/>
    </row>
    <row r="661">
      <c r="A661" s="146"/>
      <c r="B661" s="124"/>
      <c r="C661" s="29"/>
    </row>
    <row r="662">
      <c r="A662" s="146"/>
      <c r="B662" s="124"/>
      <c r="C662" s="29"/>
    </row>
    <row r="663">
      <c r="A663" s="146"/>
      <c r="B663" s="124"/>
      <c r="C663" s="29"/>
    </row>
    <row r="664">
      <c r="A664" s="146"/>
      <c r="B664" s="124"/>
      <c r="C664" s="29"/>
    </row>
    <row r="665">
      <c r="A665" s="146"/>
      <c r="B665" s="124"/>
      <c r="C665" s="29"/>
    </row>
    <row r="666">
      <c r="A666" s="146"/>
      <c r="B666" s="124"/>
      <c r="C666" s="29"/>
    </row>
    <row r="667">
      <c r="A667" s="146"/>
      <c r="B667" s="124"/>
      <c r="C667" s="29"/>
    </row>
    <row r="668">
      <c r="A668" s="146"/>
      <c r="B668" s="124"/>
      <c r="C668" s="29"/>
    </row>
    <row r="669">
      <c r="A669" s="146"/>
      <c r="B669" s="124"/>
      <c r="C669" s="29"/>
    </row>
    <row r="670">
      <c r="A670" s="146"/>
      <c r="B670" s="124"/>
      <c r="C670" s="29"/>
    </row>
    <row r="671">
      <c r="A671" s="146"/>
      <c r="B671" s="124"/>
      <c r="C671" s="29"/>
    </row>
    <row r="672">
      <c r="A672" s="146"/>
      <c r="B672" s="124"/>
      <c r="C672" s="29"/>
    </row>
    <row r="673">
      <c r="A673" s="146"/>
      <c r="B673" s="124"/>
      <c r="C673" s="29"/>
    </row>
    <row r="674">
      <c r="A674" s="146"/>
      <c r="B674" s="124"/>
      <c r="C674" s="29"/>
    </row>
    <row r="675">
      <c r="A675" s="146"/>
      <c r="B675" s="124"/>
      <c r="C675" s="29"/>
    </row>
    <row r="676">
      <c r="A676" s="146"/>
      <c r="B676" s="124"/>
      <c r="C676" s="29"/>
    </row>
    <row r="677">
      <c r="A677" s="146"/>
      <c r="B677" s="124"/>
      <c r="C677" s="29"/>
    </row>
    <row r="678">
      <c r="A678" s="146"/>
      <c r="B678" s="124"/>
      <c r="C678" s="29"/>
    </row>
    <row r="679">
      <c r="A679" s="146"/>
      <c r="B679" s="124"/>
      <c r="C679" s="29"/>
    </row>
    <row r="680">
      <c r="A680" s="146"/>
      <c r="B680" s="124"/>
      <c r="C680" s="29"/>
    </row>
    <row r="681">
      <c r="A681" s="146"/>
      <c r="B681" s="124"/>
      <c r="C681" s="29"/>
    </row>
    <row r="682">
      <c r="A682" s="146"/>
      <c r="B682" s="124"/>
      <c r="C682" s="29"/>
    </row>
    <row r="683">
      <c r="A683" s="146"/>
      <c r="B683" s="124"/>
      <c r="C683" s="29"/>
    </row>
    <row r="684">
      <c r="A684" s="146"/>
      <c r="B684" s="124"/>
      <c r="C684" s="29"/>
    </row>
    <row r="685">
      <c r="A685" s="146"/>
      <c r="B685" s="124"/>
      <c r="C685" s="29"/>
    </row>
    <row r="686">
      <c r="A686" s="146"/>
      <c r="B686" s="124"/>
      <c r="C686" s="29"/>
    </row>
    <row r="687">
      <c r="A687" s="146"/>
      <c r="B687" s="124"/>
      <c r="C687" s="29"/>
    </row>
    <row r="688">
      <c r="A688" s="146"/>
      <c r="B688" s="124"/>
      <c r="C688" s="29"/>
    </row>
    <row r="689">
      <c r="A689" s="146"/>
      <c r="B689" s="124"/>
      <c r="C689" s="29"/>
    </row>
    <row r="690">
      <c r="A690" s="146"/>
      <c r="B690" s="124"/>
      <c r="C690" s="29"/>
    </row>
    <row r="691">
      <c r="A691" s="146"/>
      <c r="B691" s="124"/>
      <c r="C691" s="29"/>
    </row>
    <row r="692">
      <c r="A692" s="146"/>
      <c r="B692" s="124"/>
      <c r="C692" s="29"/>
    </row>
    <row r="693">
      <c r="A693" s="146"/>
      <c r="B693" s="124"/>
      <c r="C693" s="29"/>
    </row>
    <row r="694">
      <c r="A694" s="146"/>
      <c r="B694" s="124"/>
      <c r="C694" s="29"/>
    </row>
    <row r="695">
      <c r="A695" s="146"/>
      <c r="B695" s="124"/>
      <c r="C695" s="29"/>
    </row>
    <row r="696">
      <c r="A696" s="146"/>
      <c r="B696" s="124"/>
      <c r="C696" s="29"/>
    </row>
    <row r="697">
      <c r="A697" s="146"/>
      <c r="B697" s="124"/>
      <c r="C697" s="29"/>
    </row>
    <row r="698">
      <c r="A698" s="146"/>
      <c r="B698" s="124"/>
      <c r="C698" s="29"/>
    </row>
    <row r="699">
      <c r="A699" s="146"/>
      <c r="B699" s="124"/>
      <c r="C699" s="29"/>
    </row>
    <row r="700">
      <c r="A700" s="146"/>
      <c r="B700" s="124"/>
      <c r="C700" s="29"/>
    </row>
    <row r="701">
      <c r="A701" s="146"/>
      <c r="B701" s="124"/>
      <c r="C701" s="29"/>
    </row>
    <row r="702">
      <c r="A702" s="146"/>
      <c r="B702" s="124"/>
      <c r="C702" s="29"/>
    </row>
    <row r="703">
      <c r="A703" s="146"/>
      <c r="B703" s="124"/>
      <c r="C703" s="29"/>
    </row>
    <row r="704">
      <c r="A704" s="146"/>
      <c r="B704" s="124"/>
      <c r="C704" s="29"/>
    </row>
    <row r="705">
      <c r="A705" s="146"/>
      <c r="B705" s="124"/>
      <c r="C705" s="29"/>
    </row>
    <row r="706">
      <c r="A706" s="146"/>
      <c r="B706" s="124"/>
      <c r="C706" s="29"/>
    </row>
    <row r="707">
      <c r="A707" s="146"/>
      <c r="B707" s="124"/>
      <c r="C707" s="29"/>
    </row>
    <row r="708">
      <c r="A708" s="146"/>
      <c r="B708" s="124"/>
      <c r="C708" s="29"/>
    </row>
    <row r="709">
      <c r="A709" s="146"/>
      <c r="B709" s="124"/>
      <c r="C709" s="29"/>
    </row>
    <row r="710">
      <c r="A710" s="146"/>
      <c r="B710" s="124"/>
      <c r="C710" s="29"/>
    </row>
    <row r="711">
      <c r="A711" s="146"/>
      <c r="B711" s="124"/>
      <c r="C711" s="29"/>
    </row>
    <row r="712">
      <c r="A712" s="146"/>
      <c r="B712" s="124"/>
      <c r="C712" s="29"/>
    </row>
    <row r="713">
      <c r="A713" s="146"/>
      <c r="B713" s="124"/>
      <c r="C713" s="29"/>
    </row>
    <row r="714">
      <c r="A714" s="146"/>
      <c r="B714" s="124"/>
      <c r="C714" s="29"/>
    </row>
    <row r="715">
      <c r="A715" s="146"/>
      <c r="B715" s="124"/>
      <c r="C715" s="29"/>
    </row>
    <row r="716">
      <c r="A716" s="146"/>
      <c r="B716" s="124"/>
      <c r="C716" s="29"/>
    </row>
    <row r="717">
      <c r="A717" s="146"/>
      <c r="B717" s="124"/>
      <c r="C717" s="29"/>
    </row>
    <row r="718">
      <c r="A718" s="146"/>
      <c r="B718" s="124"/>
      <c r="C718" s="29"/>
    </row>
    <row r="719">
      <c r="A719" s="146"/>
      <c r="B719" s="124"/>
      <c r="C719" s="29"/>
    </row>
    <row r="720">
      <c r="A720" s="146"/>
      <c r="B720" s="124"/>
      <c r="C720" s="29"/>
    </row>
    <row r="721">
      <c r="A721" s="146"/>
      <c r="B721" s="124"/>
      <c r="C721" s="29"/>
    </row>
    <row r="722">
      <c r="A722" s="146"/>
      <c r="B722" s="124"/>
      <c r="C722" s="29"/>
    </row>
    <row r="723">
      <c r="A723" s="146"/>
      <c r="B723" s="124"/>
      <c r="C723" s="29"/>
    </row>
    <row r="724">
      <c r="A724" s="146"/>
      <c r="B724" s="124"/>
      <c r="C724" s="29"/>
    </row>
    <row r="725">
      <c r="A725" s="146"/>
      <c r="B725" s="124"/>
      <c r="C725" s="29"/>
    </row>
    <row r="726">
      <c r="A726" s="146"/>
      <c r="B726" s="124"/>
      <c r="C726" s="29"/>
    </row>
    <row r="727">
      <c r="A727" s="146"/>
      <c r="B727" s="124"/>
      <c r="C727" s="29"/>
    </row>
    <row r="728">
      <c r="A728" s="146"/>
      <c r="B728" s="124"/>
      <c r="C728" s="29"/>
    </row>
    <row r="729">
      <c r="A729" s="146"/>
      <c r="B729" s="124"/>
      <c r="C729" s="29"/>
    </row>
    <row r="730">
      <c r="A730" s="146"/>
      <c r="B730" s="124"/>
      <c r="C730" s="29"/>
    </row>
    <row r="731">
      <c r="A731" s="146"/>
      <c r="B731" s="124"/>
      <c r="C731" s="29"/>
    </row>
    <row r="732">
      <c r="A732" s="146"/>
      <c r="B732" s="124"/>
      <c r="C732" s="29"/>
    </row>
    <row r="733">
      <c r="A733" s="146"/>
      <c r="B733" s="124"/>
      <c r="C733" s="29"/>
    </row>
    <row r="734">
      <c r="A734" s="146"/>
      <c r="B734" s="124"/>
      <c r="C734" s="29"/>
    </row>
    <row r="735">
      <c r="A735" s="146"/>
      <c r="B735" s="124"/>
      <c r="C735" s="29"/>
    </row>
    <row r="736">
      <c r="A736" s="146"/>
      <c r="B736" s="124"/>
      <c r="C736" s="29"/>
    </row>
    <row r="737">
      <c r="A737" s="146"/>
      <c r="B737" s="124"/>
      <c r="C737" s="29"/>
    </row>
    <row r="738">
      <c r="A738" s="146"/>
      <c r="B738" s="124"/>
      <c r="C738" s="29"/>
    </row>
    <row r="739">
      <c r="A739" s="146"/>
      <c r="B739" s="124"/>
      <c r="C739" s="29"/>
    </row>
    <row r="740">
      <c r="A740" s="146"/>
      <c r="B740" s="124"/>
      <c r="C740" s="29"/>
    </row>
    <row r="741">
      <c r="A741" s="146"/>
      <c r="B741" s="124"/>
      <c r="C741" s="29"/>
    </row>
    <row r="742">
      <c r="A742" s="146"/>
      <c r="B742" s="124"/>
      <c r="C742" s="29"/>
    </row>
    <row r="743">
      <c r="A743" s="146"/>
      <c r="B743" s="124"/>
      <c r="C743" s="29"/>
    </row>
    <row r="744">
      <c r="A744" s="146"/>
      <c r="B744" s="124"/>
      <c r="C744" s="29"/>
    </row>
    <row r="745">
      <c r="A745" s="146"/>
      <c r="B745" s="124"/>
      <c r="C745" s="29"/>
    </row>
    <row r="746">
      <c r="A746" s="146"/>
      <c r="B746" s="124"/>
      <c r="C746" s="29"/>
    </row>
    <row r="747">
      <c r="A747" s="146"/>
      <c r="B747" s="124"/>
      <c r="C747" s="29"/>
    </row>
    <row r="748">
      <c r="A748" s="146"/>
      <c r="B748" s="124"/>
      <c r="C748" s="29"/>
    </row>
    <row r="749">
      <c r="A749" s="146"/>
      <c r="B749" s="124"/>
      <c r="C749" s="29"/>
    </row>
    <row r="750">
      <c r="A750" s="146"/>
      <c r="B750" s="124"/>
      <c r="C750" s="29"/>
    </row>
    <row r="751">
      <c r="A751" s="146"/>
      <c r="B751" s="124"/>
      <c r="C751" s="29"/>
    </row>
    <row r="752">
      <c r="A752" s="146"/>
      <c r="B752" s="124"/>
      <c r="C752" s="29"/>
    </row>
    <row r="753">
      <c r="A753" s="146"/>
      <c r="B753" s="124"/>
      <c r="C753" s="29"/>
    </row>
    <row r="754">
      <c r="A754" s="146"/>
      <c r="B754" s="124"/>
      <c r="C754" s="29"/>
    </row>
    <row r="755">
      <c r="A755" s="146"/>
      <c r="B755" s="124"/>
      <c r="C755" s="29"/>
    </row>
    <row r="756">
      <c r="A756" s="146"/>
      <c r="B756" s="124"/>
      <c r="C756" s="29"/>
    </row>
    <row r="757">
      <c r="A757" s="146"/>
      <c r="B757" s="124"/>
      <c r="C757" s="29"/>
    </row>
    <row r="758">
      <c r="A758" s="146"/>
      <c r="B758" s="124"/>
      <c r="C758" s="29"/>
    </row>
    <row r="759">
      <c r="A759" s="146"/>
      <c r="B759" s="124"/>
      <c r="C759" s="29"/>
    </row>
    <row r="760">
      <c r="A760" s="146"/>
      <c r="B760" s="124"/>
      <c r="C760" s="29"/>
    </row>
    <row r="761">
      <c r="A761" s="146"/>
      <c r="B761" s="124"/>
      <c r="C761" s="29"/>
    </row>
    <row r="762">
      <c r="A762" s="146"/>
      <c r="B762" s="124"/>
      <c r="C762" s="29"/>
    </row>
    <row r="763">
      <c r="A763" s="146"/>
      <c r="B763" s="124"/>
      <c r="C763" s="29"/>
    </row>
    <row r="764">
      <c r="A764" s="146"/>
      <c r="B764" s="124"/>
      <c r="C764" s="29"/>
    </row>
    <row r="765">
      <c r="A765" s="146"/>
      <c r="B765" s="124"/>
      <c r="C765" s="29"/>
    </row>
    <row r="766">
      <c r="A766" s="146"/>
      <c r="B766" s="124"/>
      <c r="C766" s="29"/>
    </row>
    <row r="767">
      <c r="A767" s="146"/>
      <c r="B767" s="124"/>
      <c r="C767" s="29"/>
    </row>
    <row r="768">
      <c r="A768" s="146"/>
      <c r="B768" s="124"/>
      <c r="C768" s="29"/>
    </row>
    <row r="769">
      <c r="A769" s="146"/>
      <c r="B769" s="124"/>
      <c r="C769" s="29"/>
    </row>
    <row r="770">
      <c r="A770" s="146"/>
      <c r="B770" s="124"/>
      <c r="C770" s="29"/>
    </row>
    <row r="771">
      <c r="A771" s="146"/>
      <c r="B771" s="124"/>
      <c r="C771" s="29"/>
    </row>
    <row r="772">
      <c r="A772" s="146"/>
      <c r="B772" s="124"/>
      <c r="C772" s="29"/>
    </row>
    <row r="773">
      <c r="A773" s="146"/>
      <c r="B773" s="124"/>
      <c r="C773" s="29"/>
    </row>
    <row r="774">
      <c r="A774" s="146"/>
      <c r="B774" s="124"/>
      <c r="C774" s="29"/>
    </row>
    <row r="775">
      <c r="A775" s="146"/>
      <c r="B775" s="124"/>
      <c r="C775" s="29"/>
    </row>
    <row r="776">
      <c r="A776" s="146"/>
      <c r="B776" s="124"/>
      <c r="C776" s="29"/>
    </row>
    <row r="777">
      <c r="A777" s="146"/>
      <c r="B777" s="124"/>
      <c r="C777" s="29"/>
    </row>
    <row r="778">
      <c r="A778" s="146"/>
      <c r="B778" s="124"/>
      <c r="C778" s="29"/>
    </row>
    <row r="779">
      <c r="A779" s="146"/>
      <c r="B779" s="124"/>
      <c r="C779" s="29"/>
    </row>
    <row r="780">
      <c r="A780" s="146"/>
      <c r="B780" s="124"/>
      <c r="C780" s="29"/>
    </row>
    <row r="781">
      <c r="A781" s="146"/>
      <c r="B781" s="124"/>
      <c r="C781" s="29"/>
    </row>
    <row r="782">
      <c r="A782" s="146"/>
      <c r="B782" s="124"/>
      <c r="C782" s="29"/>
    </row>
    <row r="783">
      <c r="A783" s="146"/>
      <c r="B783" s="124"/>
      <c r="C783" s="29"/>
    </row>
    <row r="784">
      <c r="A784" s="146"/>
      <c r="B784" s="124"/>
      <c r="C784" s="29"/>
    </row>
    <row r="785">
      <c r="A785" s="146"/>
      <c r="B785" s="124"/>
      <c r="C785" s="29"/>
    </row>
    <row r="786">
      <c r="A786" s="146"/>
      <c r="B786" s="124"/>
      <c r="C786" s="29"/>
    </row>
    <row r="787">
      <c r="A787" s="146"/>
      <c r="B787" s="124"/>
      <c r="C787" s="29"/>
    </row>
    <row r="788">
      <c r="A788" s="146"/>
      <c r="B788" s="124"/>
      <c r="C788" s="29"/>
    </row>
    <row r="789">
      <c r="A789" s="146"/>
      <c r="B789" s="124"/>
      <c r="C789" s="29"/>
    </row>
    <row r="790">
      <c r="A790" s="146"/>
      <c r="B790" s="124"/>
      <c r="C790" s="29"/>
    </row>
    <row r="791">
      <c r="A791" s="146"/>
      <c r="B791" s="124"/>
      <c r="C791" s="29"/>
    </row>
    <row r="792">
      <c r="A792" s="146"/>
      <c r="B792" s="124"/>
      <c r="C792" s="29"/>
    </row>
    <row r="793">
      <c r="A793" s="146"/>
      <c r="B793" s="124"/>
      <c r="C793" s="29"/>
    </row>
    <row r="794">
      <c r="A794" s="146"/>
      <c r="B794" s="124"/>
      <c r="C794" s="29"/>
    </row>
    <row r="795">
      <c r="A795" s="146"/>
      <c r="B795" s="124"/>
      <c r="C795" s="29"/>
    </row>
    <row r="796">
      <c r="A796" s="146"/>
      <c r="B796" s="124"/>
      <c r="C796" s="29"/>
    </row>
    <row r="797">
      <c r="A797" s="146"/>
      <c r="B797" s="124"/>
      <c r="C797" s="29"/>
    </row>
    <row r="798">
      <c r="A798" s="146"/>
      <c r="B798" s="124"/>
      <c r="C798" s="29"/>
    </row>
    <row r="799">
      <c r="A799" s="146"/>
      <c r="B799" s="124"/>
      <c r="C799" s="29"/>
    </row>
    <row r="800">
      <c r="A800" s="146"/>
      <c r="B800" s="124"/>
      <c r="C800" s="29"/>
    </row>
    <row r="801">
      <c r="A801" s="146"/>
      <c r="B801" s="124"/>
      <c r="C801" s="29"/>
    </row>
    <row r="802">
      <c r="A802" s="146"/>
      <c r="B802" s="124"/>
      <c r="C802" s="29"/>
    </row>
    <row r="803">
      <c r="A803" s="146"/>
      <c r="B803" s="124"/>
      <c r="C803" s="29"/>
    </row>
    <row r="804">
      <c r="A804" s="146"/>
      <c r="B804" s="124"/>
      <c r="C804" s="29"/>
    </row>
    <row r="805">
      <c r="A805" s="146"/>
      <c r="B805" s="124"/>
      <c r="C805" s="29"/>
    </row>
    <row r="806">
      <c r="A806" s="146"/>
      <c r="B806" s="124"/>
      <c r="C806" s="29"/>
    </row>
    <row r="807">
      <c r="A807" s="146"/>
      <c r="B807" s="124"/>
      <c r="C807" s="29"/>
    </row>
    <row r="808">
      <c r="A808" s="146"/>
      <c r="B808" s="124"/>
      <c r="C808" s="29"/>
    </row>
    <row r="809">
      <c r="A809" s="146"/>
      <c r="B809" s="124"/>
      <c r="C809" s="29"/>
    </row>
    <row r="810">
      <c r="A810" s="146"/>
      <c r="B810" s="124"/>
      <c r="C810" s="29"/>
    </row>
    <row r="811">
      <c r="A811" s="146"/>
      <c r="B811" s="124"/>
      <c r="C811" s="29"/>
    </row>
    <row r="812">
      <c r="A812" s="146"/>
      <c r="B812" s="124"/>
      <c r="C812" s="29"/>
    </row>
    <row r="813">
      <c r="A813" s="146"/>
      <c r="B813" s="124"/>
      <c r="C813" s="29"/>
    </row>
    <row r="814">
      <c r="A814" s="146"/>
      <c r="B814" s="124"/>
      <c r="C814" s="29"/>
    </row>
    <row r="815">
      <c r="A815" s="146"/>
      <c r="B815" s="124"/>
      <c r="C815" s="29"/>
    </row>
    <row r="816">
      <c r="A816" s="146"/>
      <c r="B816" s="124"/>
      <c r="C816" s="29"/>
    </row>
    <row r="817">
      <c r="A817" s="146"/>
      <c r="B817" s="124"/>
      <c r="C817" s="29"/>
    </row>
    <row r="818">
      <c r="A818" s="146"/>
      <c r="B818" s="124"/>
      <c r="C818" s="29"/>
    </row>
    <row r="819">
      <c r="A819" s="146"/>
      <c r="B819" s="124"/>
      <c r="C819" s="29"/>
    </row>
    <row r="820">
      <c r="A820" s="146"/>
      <c r="B820" s="124"/>
      <c r="C820" s="29"/>
    </row>
    <row r="821">
      <c r="A821" s="146"/>
      <c r="B821" s="124"/>
      <c r="C821" s="29"/>
    </row>
    <row r="822">
      <c r="A822" s="146"/>
      <c r="B822" s="124"/>
      <c r="C822" s="29"/>
    </row>
    <row r="823">
      <c r="A823" s="146"/>
      <c r="B823" s="124"/>
      <c r="C823" s="29"/>
    </row>
    <row r="824">
      <c r="A824" s="146"/>
      <c r="B824" s="124"/>
      <c r="C824" s="29"/>
    </row>
    <row r="825">
      <c r="A825" s="146"/>
      <c r="B825" s="124"/>
      <c r="C825" s="29"/>
    </row>
    <row r="826">
      <c r="A826" s="146"/>
      <c r="B826" s="124"/>
      <c r="C826" s="29"/>
    </row>
    <row r="827">
      <c r="A827" s="146"/>
      <c r="B827" s="124"/>
      <c r="C827" s="29"/>
    </row>
    <row r="828">
      <c r="A828" s="146"/>
      <c r="B828" s="124"/>
      <c r="C828" s="29"/>
    </row>
    <row r="829">
      <c r="A829" s="146"/>
      <c r="B829" s="124"/>
      <c r="C829" s="29"/>
    </row>
    <row r="830">
      <c r="A830" s="146"/>
      <c r="B830" s="124"/>
      <c r="C830" s="29"/>
    </row>
    <row r="831">
      <c r="A831" s="146"/>
      <c r="B831" s="124"/>
      <c r="C831" s="29"/>
    </row>
    <row r="832">
      <c r="A832" s="146"/>
      <c r="B832" s="124"/>
      <c r="C832" s="29"/>
    </row>
    <row r="833">
      <c r="A833" s="146"/>
      <c r="B833" s="124"/>
      <c r="C833" s="29"/>
    </row>
    <row r="834">
      <c r="A834" s="146"/>
      <c r="B834" s="124"/>
      <c r="C834" s="29"/>
    </row>
    <row r="835">
      <c r="A835" s="146"/>
      <c r="B835" s="124"/>
      <c r="C835" s="29"/>
    </row>
    <row r="836">
      <c r="A836" s="146"/>
      <c r="B836" s="124"/>
      <c r="C836" s="29"/>
    </row>
    <row r="837">
      <c r="A837" s="146"/>
      <c r="B837" s="124"/>
      <c r="C837" s="29"/>
    </row>
    <row r="838">
      <c r="A838" s="146"/>
      <c r="B838" s="124"/>
      <c r="C838" s="29"/>
    </row>
    <row r="839">
      <c r="A839" s="146"/>
      <c r="B839" s="124"/>
      <c r="C839" s="29"/>
    </row>
    <row r="840">
      <c r="A840" s="146"/>
      <c r="B840" s="124"/>
      <c r="C840" s="29"/>
    </row>
    <row r="841">
      <c r="A841" s="146"/>
      <c r="B841" s="124"/>
      <c r="C841" s="29"/>
    </row>
    <row r="842">
      <c r="A842" s="146"/>
      <c r="B842" s="124"/>
      <c r="C842" s="29"/>
    </row>
    <row r="843">
      <c r="A843" s="146"/>
      <c r="B843" s="124"/>
      <c r="C843" s="29"/>
    </row>
    <row r="844">
      <c r="A844" s="146"/>
      <c r="B844" s="124"/>
      <c r="C844" s="29"/>
    </row>
    <row r="845">
      <c r="A845" s="146"/>
      <c r="B845" s="124"/>
      <c r="C845" s="29"/>
    </row>
    <row r="846">
      <c r="A846" s="146"/>
      <c r="B846" s="124"/>
      <c r="C846" s="29"/>
    </row>
    <row r="847">
      <c r="A847" s="146"/>
      <c r="B847" s="124"/>
      <c r="C847" s="29"/>
    </row>
    <row r="848">
      <c r="A848" s="146"/>
      <c r="B848" s="124"/>
      <c r="C848" s="29"/>
    </row>
    <row r="849">
      <c r="A849" s="146"/>
      <c r="B849" s="124"/>
      <c r="C849" s="29"/>
    </row>
    <row r="850">
      <c r="A850" s="146"/>
      <c r="B850" s="124"/>
      <c r="C850" s="29"/>
    </row>
    <row r="851">
      <c r="A851" s="146"/>
      <c r="B851" s="124"/>
      <c r="C851" s="29"/>
    </row>
    <row r="852">
      <c r="A852" s="146"/>
      <c r="B852" s="124"/>
      <c r="C852" s="29"/>
    </row>
    <row r="853">
      <c r="A853" s="146"/>
      <c r="B853" s="124"/>
      <c r="C853" s="29"/>
    </row>
    <row r="854">
      <c r="A854" s="146"/>
      <c r="B854" s="124"/>
      <c r="C854" s="29"/>
    </row>
    <row r="855">
      <c r="A855" s="146"/>
      <c r="B855" s="124"/>
      <c r="C855" s="29"/>
    </row>
    <row r="856">
      <c r="A856" s="146"/>
      <c r="B856" s="124"/>
      <c r="C856" s="29"/>
    </row>
    <row r="857">
      <c r="A857" s="146"/>
      <c r="B857" s="124"/>
      <c r="C857" s="29"/>
    </row>
    <row r="858">
      <c r="A858" s="146"/>
      <c r="B858" s="124"/>
      <c r="C858" s="29"/>
    </row>
    <row r="859">
      <c r="A859" s="146"/>
      <c r="B859" s="124"/>
      <c r="C859" s="29"/>
    </row>
    <row r="860">
      <c r="A860" s="146"/>
      <c r="B860" s="124"/>
      <c r="C860" s="29"/>
    </row>
    <row r="861">
      <c r="A861" s="146"/>
      <c r="B861" s="124"/>
      <c r="C861" s="29"/>
    </row>
    <row r="862">
      <c r="A862" s="146"/>
      <c r="B862" s="124"/>
      <c r="C862" s="29"/>
    </row>
    <row r="863">
      <c r="A863" s="146"/>
      <c r="B863" s="124"/>
      <c r="C863" s="29"/>
    </row>
    <row r="864">
      <c r="A864" s="146"/>
      <c r="B864" s="124"/>
      <c r="C864" s="29"/>
    </row>
    <row r="865">
      <c r="A865" s="146"/>
      <c r="B865" s="124"/>
      <c r="C865" s="29"/>
    </row>
    <row r="866">
      <c r="A866" s="146"/>
      <c r="B866" s="124"/>
      <c r="C866" s="29"/>
    </row>
    <row r="867">
      <c r="A867" s="146"/>
      <c r="B867" s="124"/>
      <c r="C867" s="29"/>
    </row>
    <row r="868">
      <c r="A868" s="146"/>
      <c r="B868" s="124"/>
      <c r="C868" s="29"/>
    </row>
    <row r="869">
      <c r="A869" s="146"/>
      <c r="B869" s="124"/>
      <c r="C869" s="29"/>
    </row>
    <row r="870">
      <c r="A870" s="146"/>
      <c r="B870" s="124"/>
      <c r="C870" s="29"/>
    </row>
    <row r="871">
      <c r="A871" s="146"/>
      <c r="B871" s="124"/>
      <c r="C871" s="29"/>
    </row>
    <row r="872">
      <c r="A872" s="146"/>
      <c r="B872" s="124"/>
      <c r="C872" s="29"/>
    </row>
    <row r="873">
      <c r="A873" s="146"/>
      <c r="B873" s="124"/>
      <c r="C873" s="29"/>
    </row>
    <row r="874">
      <c r="A874" s="146"/>
      <c r="B874" s="124"/>
      <c r="C874" s="29"/>
    </row>
    <row r="875">
      <c r="A875" s="146"/>
      <c r="B875" s="124"/>
      <c r="C875" s="29"/>
    </row>
    <row r="876">
      <c r="A876" s="146"/>
      <c r="B876" s="124"/>
      <c r="C876" s="29"/>
    </row>
    <row r="877">
      <c r="A877" s="146"/>
      <c r="B877" s="124"/>
      <c r="C877" s="29"/>
    </row>
    <row r="878">
      <c r="A878" s="146"/>
      <c r="B878" s="124"/>
      <c r="C878" s="29"/>
    </row>
    <row r="879">
      <c r="A879" s="146"/>
      <c r="B879" s="124"/>
      <c r="C879" s="29"/>
    </row>
    <row r="880">
      <c r="A880" s="146"/>
      <c r="B880" s="124"/>
      <c r="C880" s="29"/>
    </row>
    <row r="881">
      <c r="A881" s="146"/>
      <c r="B881" s="124"/>
      <c r="C881" s="29"/>
    </row>
    <row r="882">
      <c r="A882" s="146"/>
      <c r="B882" s="124"/>
      <c r="C882" s="29"/>
    </row>
    <row r="883">
      <c r="A883" s="146"/>
      <c r="B883" s="124"/>
      <c r="C883" s="29"/>
    </row>
    <row r="884">
      <c r="A884" s="146"/>
      <c r="B884" s="124"/>
      <c r="C884" s="29"/>
    </row>
    <row r="885">
      <c r="A885" s="146"/>
      <c r="B885" s="124"/>
      <c r="C885" s="29"/>
    </row>
    <row r="886">
      <c r="A886" s="146"/>
      <c r="B886" s="124"/>
      <c r="C886" s="29"/>
    </row>
    <row r="887">
      <c r="A887" s="146"/>
      <c r="B887" s="124"/>
      <c r="C887" s="29"/>
    </row>
    <row r="888">
      <c r="A888" s="146"/>
      <c r="B888" s="124"/>
      <c r="C888" s="29"/>
    </row>
    <row r="889">
      <c r="A889" s="146"/>
      <c r="B889" s="124"/>
      <c r="C889" s="29"/>
    </row>
    <row r="890">
      <c r="A890" s="146"/>
      <c r="B890" s="124"/>
      <c r="C890" s="29"/>
    </row>
    <row r="891">
      <c r="A891" s="146"/>
      <c r="B891" s="124"/>
      <c r="C891" s="29"/>
    </row>
    <row r="892">
      <c r="A892" s="146"/>
      <c r="B892" s="124"/>
      <c r="C892" s="29"/>
    </row>
    <row r="893">
      <c r="A893" s="146"/>
      <c r="B893" s="124"/>
      <c r="C893" s="29"/>
    </row>
    <row r="894">
      <c r="A894" s="146"/>
      <c r="B894" s="124"/>
      <c r="C894" s="29"/>
    </row>
    <row r="895">
      <c r="A895" s="146"/>
      <c r="B895" s="124"/>
      <c r="C895" s="29"/>
    </row>
    <row r="896">
      <c r="A896" s="146"/>
      <c r="B896" s="124"/>
      <c r="C896" s="29"/>
    </row>
    <row r="897">
      <c r="A897" s="146"/>
      <c r="B897" s="124"/>
      <c r="C897" s="29"/>
    </row>
    <row r="898">
      <c r="A898" s="146"/>
      <c r="B898" s="124"/>
      <c r="C898" s="29"/>
    </row>
    <row r="899">
      <c r="A899" s="146"/>
      <c r="B899" s="124"/>
      <c r="C899" s="29"/>
    </row>
    <row r="900">
      <c r="A900" s="146"/>
      <c r="B900" s="124"/>
      <c r="C900" s="29"/>
    </row>
    <row r="901">
      <c r="A901" s="146"/>
      <c r="B901" s="124"/>
      <c r="C901" s="29"/>
    </row>
    <row r="902">
      <c r="A902" s="146"/>
      <c r="B902" s="124"/>
      <c r="C902" s="29"/>
    </row>
    <row r="903">
      <c r="A903" s="146"/>
      <c r="B903" s="124"/>
      <c r="C903" s="29"/>
    </row>
    <row r="904">
      <c r="A904" s="146"/>
      <c r="B904" s="124"/>
      <c r="C904" s="29"/>
    </row>
    <row r="905">
      <c r="A905" s="146"/>
      <c r="B905" s="124"/>
      <c r="C905" s="29"/>
    </row>
    <row r="906">
      <c r="A906" s="146"/>
      <c r="B906" s="124"/>
      <c r="C906" s="29"/>
    </row>
    <row r="907">
      <c r="A907" s="146"/>
      <c r="B907" s="124"/>
      <c r="C907" s="29"/>
    </row>
    <row r="908">
      <c r="A908" s="146"/>
      <c r="B908" s="124"/>
      <c r="C908" s="29"/>
    </row>
    <row r="909">
      <c r="A909" s="146"/>
      <c r="B909" s="124"/>
      <c r="C909" s="29"/>
    </row>
    <row r="910">
      <c r="A910" s="146"/>
      <c r="B910" s="124"/>
      <c r="C910" s="29"/>
    </row>
    <row r="911">
      <c r="A911" s="146"/>
      <c r="B911" s="124"/>
      <c r="C911" s="29"/>
    </row>
    <row r="912">
      <c r="A912" s="146"/>
      <c r="B912" s="124"/>
      <c r="C912" s="29"/>
    </row>
    <row r="913">
      <c r="A913" s="146"/>
      <c r="B913" s="124"/>
      <c r="C913" s="29"/>
    </row>
    <row r="914">
      <c r="A914" s="146"/>
      <c r="B914" s="124"/>
      <c r="C914" s="29"/>
    </row>
    <row r="915">
      <c r="A915" s="146"/>
      <c r="B915" s="124"/>
      <c r="C915" s="29"/>
    </row>
    <row r="916">
      <c r="A916" s="146"/>
      <c r="B916" s="124"/>
      <c r="C916" s="29"/>
    </row>
    <row r="917">
      <c r="A917" s="146"/>
      <c r="B917" s="124"/>
      <c r="C917" s="29"/>
    </row>
    <row r="918">
      <c r="A918" s="146"/>
      <c r="B918" s="124"/>
      <c r="C918" s="29"/>
    </row>
    <row r="919">
      <c r="A919" s="146"/>
      <c r="B919" s="124"/>
      <c r="C919" s="29"/>
    </row>
    <row r="920">
      <c r="A920" s="146"/>
      <c r="B920" s="124"/>
      <c r="C920" s="29"/>
    </row>
    <row r="921">
      <c r="A921" s="146"/>
      <c r="B921" s="124"/>
      <c r="C921" s="29"/>
    </row>
    <row r="922">
      <c r="A922" s="146"/>
      <c r="B922" s="124"/>
      <c r="C922" s="29"/>
    </row>
    <row r="923">
      <c r="A923" s="146"/>
      <c r="B923" s="124"/>
      <c r="C923" s="29"/>
    </row>
    <row r="924">
      <c r="A924" s="146"/>
      <c r="B924" s="124"/>
      <c r="C924" s="29"/>
    </row>
    <row r="925">
      <c r="A925" s="146"/>
      <c r="B925" s="124"/>
      <c r="C925" s="29"/>
    </row>
    <row r="926">
      <c r="A926" s="146"/>
      <c r="B926" s="124"/>
      <c r="C926" s="29"/>
    </row>
    <row r="927">
      <c r="A927" s="146"/>
      <c r="B927" s="124"/>
      <c r="C927" s="29"/>
    </row>
    <row r="928">
      <c r="A928" s="146"/>
      <c r="B928" s="124"/>
      <c r="C928" s="29"/>
    </row>
    <row r="929">
      <c r="A929" s="146"/>
      <c r="B929" s="124"/>
      <c r="C929" s="29"/>
    </row>
    <row r="930">
      <c r="A930" s="146"/>
      <c r="B930" s="124"/>
      <c r="C930" s="29"/>
    </row>
    <row r="931">
      <c r="A931" s="146"/>
      <c r="B931" s="124"/>
      <c r="C931" s="29"/>
    </row>
    <row r="932">
      <c r="A932" s="146"/>
      <c r="B932" s="124"/>
      <c r="C932" s="29"/>
    </row>
    <row r="933">
      <c r="A933" s="146"/>
      <c r="B933" s="124"/>
      <c r="C933" s="29"/>
    </row>
    <row r="934">
      <c r="A934" s="146"/>
      <c r="B934" s="124"/>
      <c r="C934" s="29"/>
    </row>
    <row r="935">
      <c r="A935" s="146"/>
      <c r="B935" s="124"/>
      <c r="C935" s="29"/>
    </row>
    <row r="936">
      <c r="A936" s="146"/>
      <c r="B936" s="124"/>
      <c r="C936" s="29"/>
    </row>
    <row r="937">
      <c r="A937" s="146"/>
      <c r="B937" s="124"/>
      <c r="C937" s="29"/>
    </row>
    <row r="938">
      <c r="A938" s="146"/>
      <c r="B938" s="124"/>
      <c r="C938" s="29"/>
    </row>
    <row r="939">
      <c r="A939" s="146"/>
      <c r="B939" s="124"/>
      <c r="C939" s="29"/>
    </row>
    <row r="940">
      <c r="A940" s="146"/>
      <c r="B940" s="124"/>
      <c r="C940" s="29"/>
    </row>
    <row r="941">
      <c r="A941" s="146"/>
      <c r="B941" s="124"/>
      <c r="C941" s="29"/>
    </row>
    <row r="942">
      <c r="A942" s="146"/>
      <c r="B942" s="124"/>
      <c r="C942" s="29"/>
    </row>
    <row r="943">
      <c r="A943" s="146"/>
      <c r="B943" s="124"/>
      <c r="C943" s="29"/>
    </row>
    <row r="944">
      <c r="A944" s="146"/>
      <c r="B944" s="124"/>
      <c r="C944" s="29"/>
    </row>
    <row r="945">
      <c r="A945" s="146"/>
      <c r="B945" s="124"/>
      <c r="C945" s="29"/>
    </row>
    <row r="946">
      <c r="A946" s="146"/>
      <c r="B946" s="124"/>
      <c r="C946" s="29"/>
    </row>
    <row r="947">
      <c r="A947" s="146"/>
      <c r="B947" s="124"/>
      <c r="C947" s="29"/>
    </row>
    <row r="948">
      <c r="A948" s="146"/>
      <c r="B948" s="124"/>
      <c r="C948" s="29"/>
    </row>
    <row r="949">
      <c r="A949" s="146"/>
      <c r="B949" s="124"/>
      <c r="C949" s="29"/>
    </row>
    <row r="950">
      <c r="A950" s="146"/>
      <c r="B950" s="124"/>
      <c r="C950" s="29"/>
    </row>
    <row r="951">
      <c r="A951" s="146"/>
      <c r="B951" s="124"/>
      <c r="C951" s="29"/>
    </row>
    <row r="952">
      <c r="A952" s="146"/>
      <c r="B952" s="124"/>
      <c r="C952" s="29"/>
    </row>
    <row r="953">
      <c r="A953" s="146"/>
      <c r="B953" s="124"/>
      <c r="C953" s="29"/>
    </row>
    <row r="954">
      <c r="A954" s="146"/>
      <c r="B954" s="124"/>
      <c r="C954" s="29"/>
    </row>
    <row r="955">
      <c r="A955" s="146"/>
      <c r="B955" s="124"/>
      <c r="C955" s="29"/>
    </row>
    <row r="956">
      <c r="A956" s="146"/>
      <c r="B956" s="124"/>
      <c r="C956" s="29"/>
    </row>
    <row r="957">
      <c r="A957" s="146"/>
      <c r="B957" s="124"/>
      <c r="C957" s="29"/>
    </row>
    <row r="958">
      <c r="A958" s="146"/>
      <c r="B958" s="124"/>
      <c r="C958" s="29"/>
    </row>
    <row r="959">
      <c r="A959" s="146"/>
      <c r="B959" s="124"/>
      <c r="C959" s="29"/>
    </row>
    <row r="960">
      <c r="A960" s="146"/>
      <c r="B960" s="124"/>
      <c r="C960" s="29"/>
    </row>
    <row r="961">
      <c r="A961" s="146"/>
      <c r="B961" s="124"/>
      <c r="C961" s="29"/>
    </row>
    <row r="962">
      <c r="A962" s="146"/>
      <c r="B962" s="124"/>
      <c r="C962" s="29"/>
    </row>
    <row r="963">
      <c r="A963" s="146"/>
      <c r="B963" s="124"/>
      <c r="C963" s="29"/>
    </row>
    <row r="964">
      <c r="A964" s="146"/>
      <c r="B964" s="124"/>
      <c r="C964" s="29"/>
    </row>
    <row r="965">
      <c r="A965" s="146"/>
      <c r="B965" s="124"/>
      <c r="C965" s="29"/>
    </row>
    <row r="966">
      <c r="A966" s="146"/>
      <c r="B966" s="124"/>
      <c r="C966" s="29"/>
    </row>
    <row r="967">
      <c r="A967" s="146"/>
      <c r="B967" s="124"/>
      <c r="C967" s="29"/>
    </row>
    <row r="968">
      <c r="A968" s="146"/>
      <c r="B968" s="124"/>
      <c r="C968" s="29"/>
    </row>
    <row r="969">
      <c r="A969" s="146"/>
      <c r="B969" s="124"/>
      <c r="C969" s="29"/>
    </row>
    <row r="970">
      <c r="A970" s="146"/>
      <c r="B970" s="124"/>
      <c r="C970" s="29"/>
    </row>
    <row r="971">
      <c r="A971" s="146"/>
      <c r="B971" s="124"/>
      <c r="C971" s="29"/>
    </row>
    <row r="972">
      <c r="A972" s="146"/>
      <c r="B972" s="124"/>
      <c r="C972" s="29"/>
    </row>
    <row r="973">
      <c r="A973" s="146"/>
      <c r="B973" s="124"/>
      <c r="C973" s="29"/>
    </row>
    <row r="974">
      <c r="A974" s="146"/>
      <c r="B974" s="124"/>
      <c r="C974" s="29"/>
    </row>
    <row r="975">
      <c r="A975" s="146"/>
      <c r="B975" s="124"/>
      <c r="C975" s="29"/>
    </row>
    <row r="976">
      <c r="A976" s="146"/>
      <c r="B976" s="124"/>
      <c r="C976" s="29"/>
    </row>
    <row r="977">
      <c r="A977" s="146"/>
      <c r="B977" s="124"/>
      <c r="C977" s="29"/>
    </row>
    <row r="978">
      <c r="A978" s="146"/>
      <c r="B978" s="124"/>
      <c r="C978" s="29"/>
    </row>
    <row r="979">
      <c r="A979" s="146"/>
      <c r="B979" s="124"/>
      <c r="C979" s="29"/>
    </row>
    <row r="980">
      <c r="A980" s="146"/>
      <c r="B980" s="124"/>
      <c r="C980" s="29"/>
    </row>
    <row r="981">
      <c r="A981" s="146"/>
      <c r="B981" s="124"/>
      <c r="C981" s="29"/>
    </row>
    <row r="982">
      <c r="A982" s="146"/>
      <c r="B982" s="124"/>
      <c r="C982" s="29"/>
    </row>
    <row r="983">
      <c r="A983" s="146"/>
      <c r="B983" s="124"/>
      <c r="C983" s="29"/>
    </row>
    <row r="984">
      <c r="A984" s="146"/>
      <c r="B984" s="124"/>
      <c r="C984" s="29"/>
    </row>
    <row r="985">
      <c r="A985" s="146"/>
      <c r="B985" s="124"/>
      <c r="C985" s="29"/>
    </row>
    <row r="986">
      <c r="A986" s="146"/>
      <c r="B986" s="124"/>
      <c r="C986" s="29"/>
    </row>
    <row r="987">
      <c r="A987" s="146"/>
      <c r="B987" s="124"/>
      <c r="C987" s="29"/>
    </row>
    <row r="988">
      <c r="A988" s="146"/>
      <c r="B988" s="124"/>
      <c r="C988" s="29"/>
    </row>
    <row r="989">
      <c r="A989" s="146"/>
      <c r="B989" s="124"/>
      <c r="C989" s="29"/>
    </row>
    <row r="990">
      <c r="A990" s="146"/>
      <c r="B990" s="124"/>
      <c r="C990" s="29"/>
    </row>
    <row r="991">
      <c r="A991" s="146"/>
      <c r="B991" s="124"/>
      <c r="C991" s="29"/>
    </row>
    <row r="992">
      <c r="A992" s="146"/>
      <c r="B992" s="124"/>
      <c r="C992" s="29"/>
    </row>
    <row r="993">
      <c r="A993" s="146"/>
      <c r="B993" s="124"/>
      <c r="C993" s="29"/>
    </row>
    <row r="994">
      <c r="A994" s="146"/>
      <c r="B994" s="124"/>
      <c r="C994" s="29"/>
    </row>
    <row r="995">
      <c r="A995" s="146"/>
      <c r="B995" s="124"/>
      <c r="C995" s="29"/>
    </row>
    <row r="996">
      <c r="A996" s="146"/>
      <c r="B996" s="124"/>
      <c r="C996" s="29"/>
    </row>
    <row r="997">
      <c r="A997" s="146"/>
      <c r="B997" s="124"/>
      <c r="C997" s="29"/>
    </row>
    <row r="998">
      <c r="A998" s="146"/>
      <c r="B998" s="124"/>
      <c r="C998" s="29"/>
    </row>
    <row r="999">
      <c r="A999" s="146"/>
      <c r="B999" s="124"/>
      <c r="C999" s="29"/>
    </row>
    <row r="1000">
      <c r="A1000" s="146"/>
      <c r="B1000" s="124"/>
      <c r="C1000" s="29"/>
    </row>
    <row r="1001">
      <c r="A1001" s="146"/>
      <c r="B1001" s="124"/>
      <c r="C1001" s="29"/>
    </row>
    <row r="1002">
      <c r="A1002" s="146"/>
      <c r="B1002" s="124"/>
      <c r="C1002" s="29"/>
    </row>
    <row r="1003">
      <c r="A1003" s="146"/>
      <c r="B1003" s="124"/>
      <c r="C1003" s="29"/>
    </row>
    <row r="1004">
      <c r="A1004" s="146"/>
      <c r="B1004" s="124"/>
      <c r="C1004" s="29"/>
    </row>
    <row r="1005">
      <c r="A1005" s="146"/>
      <c r="B1005" s="124"/>
      <c r="C1005" s="29"/>
    </row>
    <row r="1006">
      <c r="A1006" s="146"/>
      <c r="B1006" s="124"/>
      <c r="C1006" s="29"/>
    </row>
    <row r="1007">
      <c r="A1007" s="146"/>
      <c r="B1007" s="124"/>
      <c r="C1007" s="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2.5"/>
    <col customWidth="1" min="3" max="3" width="8.63"/>
    <col customWidth="1" min="4" max="4" width="8.13"/>
  </cols>
  <sheetData>
    <row r="1">
      <c r="A1" s="147" t="s">
        <v>122</v>
      </c>
      <c r="B1" s="148"/>
      <c r="C1" s="148"/>
      <c r="D1" s="149">
        <f>SUM(D5:D303)-(D2+D3)</f>
        <v>-904</v>
      </c>
    </row>
    <row r="2">
      <c r="A2" s="126" t="s">
        <v>123</v>
      </c>
      <c r="C2" s="127"/>
      <c r="D2" s="127">
        <f>DISPONIBILITA!C38</f>
        <v>372</v>
      </c>
    </row>
    <row r="3">
      <c r="A3" s="126" t="s">
        <v>124</v>
      </c>
      <c r="C3" s="127"/>
      <c r="D3" s="127">
        <f>DISPONIBILITA!C42</f>
        <v>532</v>
      </c>
    </row>
    <row r="4">
      <c r="A4" s="150" t="s">
        <v>92</v>
      </c>
      <c r="B4" s="4"/>
      <c r="C4" s="151"/>
      <c r="D4" s="151" t="s">
        <v>93</v>
      </c>
    </row>
    <row r="5">
      <c r="A5" s="67" t="b">
        <v>0</v>
      </c>
      <c r="B5" s="115" t="s">
        <v>125</v>
      </c>
      <c r="C5" s="152">
        <f t="shared" ref="C5:C6" si="1">20*4</f>
        <v>80</v>
      </c>
      <c r="D5" s="153" t="str">
        <f t="shared" ref="D5:D35" si="2">IF(A5=TRUE,C5,"")</f>
        <v/>
      </c>
    </row>
    <row r="6">
      <c r="A6" s="67" t="b">
        <v>0</v>
      </c>
      <c r="B6" s="115" t="s">
        <v>126</v>
      </c>
      <c r="C6" s="152">
        <f t="shared" si="1"/>
        <v>80</v>
      </c>
      <c r="D6" s="153" t="str">
        <f t="shared" si="2"/>
        <v/>
      </c>
    </row>
    <row r="7">
      <c r="A7" s="67" t="b">
        <v>0</v>
      </c>
      <c r="B7" s="115" t="s">
        <v>127</v>
      </c>
      <c r="C7" s="152">
        <f>21*4</f>
        <v>84</v>
      </c>
      <c r="D7" s="153" t="str">
        <f t="shared" si="2"/>
        <v/>
      </c>
    </row>
    <row r="8">
      <c r="A8" s="67" t="b">
        <v>0</v>
      </c>
      <c r="B8" s="154" t="s">
        <v>128</v>
      </c>
      <c r="C8" s="152">
        <v>120.0</v>
      </c>
      <c r="D8" s="153" t="str">
        <f t="shared" si="2"/>
        <v/>
      </c>
    </row>
    <row r="9">
      <c r="A9" s="67" t="b">
        <v>0</v>
      </c>
      <c r="B9" s="115" t="s">
        <v>129</v>
      </c>
      <c r="C9" s="152">
        <f>1.4*22</f>
        <v>30.8</v>
      </c>
      <c r="D9" s="153" t="str">
        <f t="shared" si="2"/>
        <v/>
      </c>
    </row>
    <row r="10">
      <c r="A10" s="67" t="b">
        <v>0</v>
      </c>
      <c r="B10" s="115" t="s">
        <v>130</v>
      </c>
      <c r="C10" s="152">
        <v>5.0</v>
      </c>
      <c r="D10" s="153" t="str">
        <f t="shared" si="2"/>
        <v/>
      </c>
    </row>
    <row r="11">
      <c r="A11" s="67" t="b">
        <v>0</v>
      </c>
      <c r="B11" s="154" t="s">
        <v>131</v>
      </c>
      <c r="C11" s="152">
        <v>50.0</v>
      </c>
      <c r="D11" s="153" t="str">
        <f t="shared" si="2"/>
        <v/>
      </c>
    </row>
    <row r="12">
      <c r="A12" s="67" t="b">
        <v>0</v>
      </c>
      <c r="B12" s="154" t="s">
        <v>132</v>
      </c>
      <c r="C12" s="152">
        <v>15.0</v>
      </c>
      <c r="D12" s="153" t="str">
        <f t="shared" si="2"/>
        <v/>
      </c>
    </row>
    <row r="13">
      <c r="A13" s="67" t="b">
        <v>0</v>
      </c>
      <c r="B13" s="154" t="s">
        <v>133</v>
      </c>
      <c r="C13" s="152">
        <v>150.0</v>
      </c>
      <c r="D13" s="153" t="str">
        <f t="shared" si="2"/>
        <v/>
      </c>
    </row>
    <row r="14">
      <c r="A14" s="67" t="b">
        <v>0</v>
      </c>
      <c r="B14" s="115" t="s">
        <v>134</v>
      </c>
      <c r="C14" s="152">
        <v>150.0</v>
      </c>
      <c r="D14" s="153" t="str">
        <f t="shared" si="2"/>
        <v/>
      </c>
    </row>
    <row r="15">
      <c r="A15" s="67" t="b">
        <v>0</v>
      </c>
      <c r="B15" s="115" t="s">
        <v>135</v>
      </c>
      <c r="C15" s="152">
        <v>100.0</v>
      </c>
      <c r="D15" s="153" t="str">
        <f t="shared" si="2"/>
        <v/>
      </c>
    </row>
    <row r="16">
      <c r="A16" s="67" t="b">
        <v>0</v>
      </c>
      <c r="B16" s="115"/>
      <c r="C16" s="152"/>
      <c r="D16" s="153" t="str">
        <f t="shared" si="2"/>
        <v/>
      </c>
    </row>
    <row r="17">
      <c r="A17" s="67" t="b">
        <v>0</v>
      </c>
      <c r="B17" s="115"/>
      <c r="C17" s="152"/>
      <c r="D17" s="153" t="str">
        <f t="shared" si="2"/>
        <v/>
      </c>
    </row>
    <row r="18">
      <c r="A18" s="67" t="b">
        <v>0</v>
      </c>
      <c r="B18" s="37"/>
      <c r="C18" s="152"/>
      <c r="D18" s="153" t="str">
        <f t="shared" si="2"/>
        <v/>
      </c>
    </row>
    <row r="19">
      <c r="A19" s="67" t="b">
        <v>0</v>
      </c>
      <c r="B19" s="37"/>
      <c r="C19" s="152"/>
      <c r="D19" s="153" t="str">
        <f t="shared" si="2"/>
        <v/>
      </c>
    </row>
    <row r="20">
      <c r="A20" s="67" t="b">
        <v>0</v>
      </c>
      <c r="B20" s="37"/>
      <c r="C20" s="152"/>
      <c r="D20" s="153" t="str">
        <f t="shared" si="2"/>
        <v/>
      </c>
    </row>
    <row r="21">
      <c r="A21" s="67" t="b">
        <v>0</v>
      </c>
      <c r="B21" s="37"/>
      <c r="C21" s="152"/>
      <c r="D21" s="153" t="str">
        <f t="shared" si="2"/>
        <v/>
      </c>
    </row>
    <row r="22">
      <c r="A22" s="67" t="b">
        <v>0</v>
      </c>
      <c r="B22" s="37"/>
      <c r="C22" s="152"/>
      <c r="D22" s="153" t="str">
        <f t="shared" si="2"/>
        <v/>
      </c>
    </row>
    <row r="23">
      <c r="A23" s="67" t="b">
        <v>0</v>
      </c>
      <c r="B23" s="37"/>
      <c r="C23" s="152"/>
      <c r="D23" s="153" t="str">
        <f t="shared" si="2"/>
        <v/>
      </c>
    </row>
    <row r="24">
      <c r="A24" s="67" t="b">
        <v>0</v>
      </c>
      <c r="B24" s="37"/>
      <c r="C24" s="152"/>
      <c r="D24" s="153" t="str">
        <f t="shared" si="2"/>
        <v/>
      </c>
    </row>
    <row r="25">
      <c r="A25" s="67" t="b">
        <v>0</v>
      </c>
      <c r="B25" s="37"/>
      <c r="C25" s="152"/>
      <c r="D25" s="153" t="str">
        <f t="shared" si="2"/>
        <v/>
      </c>
    </row>
    <row r="26">
      <c r="A26" s="67" t="b">
        <v>0</v>
      </c>
      <c r="B26" s="37"/>
      <c r="C26" s="152"/>
      <c r="D26" s="153" t="str">
        <f t="shared" si="2"/>
        <v/>
      </c>
    </row>
    <row r="27">
      <c r="A27" s="67" t="b">
        <v>0</v>
      </c>
      <c r="B27" s="37"/>
      <c r="C27" s="152"/>
      <c r="D27" s="153" t="str">
        <f t="shared" si="2"/>
        <v/>
      </c>
    </row>
    <row r="28">
      <c r="A28" s="67" t="b">
        <v>0</v>
      </c>
      <c r="B28" s="37"/>
      <c r="C28" s="152"/>
      <c r="D28" s="153" t="str">
        <f t="shared" si="2"/>
        <v/>
      </c>
    </row>
    <row r="29">
      <c r="A29" s="67" t="b">
        <v>0</v>
      </c>
      <c r="B29" s="37"/>
      <c r="C29" s="152"/>
      <c r="D29" s="153" t="str">
        <f t="shared" si="2"/>
        <v/>
      </c>
    </row>
    <row r="30">
      <c r="A30" s="67" t="b">
        <v>0</v>
      </c>
      <c r="B30" s="37"/>
      <c r="C30" s="152"/>
      <c r="D30" s="153" t="str">
        <f t="shared" si="2"/>
        <v/>
      </c>
    </row>
    <row r="31">
      <c r="A31" s="67" t="b">
        <v>0</v>
      </c>
      <c r="B31" s="37"/>
      <c r="C31" s="152"/>
      <c r="D31" s="153" t="str">
        <f t="shared" si="2"/>
        <v/>
      </c>
    </row>
    <row r="32">
      <c r="A32" s="67" t="b">
        <v>0</v>
      </c>
      <c r="B32" s="37"/>
      <c r="C32" s="152"/>
      <c r="D32" s="153" t="str">
        <f t="shared" si="2"/>
        <v/>
      </c>
    </row>
    <row r="33">
      <c r="A33" s="67" t="b">
        <v>0</v>
      </c>
      <c r="B33" s="37"/>
      <c r="C33" s="152"/>
      <c r="D33" s="153" t="str">
        <f t="shared" si="2"/>
        <v/>
      </c>
    </row>
    <row r="34">
      <c r="A34" s="67" t="b">
        <v>0</v>
      </c>
      <c r="B34" s="37"/>
      <c r="C34" s="152"/>
      <c r="D34" s="153" t="str">
        <f t="shared" si="2"/>
        <v/>
      </c>
    </row>
    <row r="35">
      <c r="A35" s="67" t="b">
        <v>0</v>
      </c>
      <c r="B35" s="37"/>
      <c r="C35" s="152"/>
      <c r="D35" s="153" t="str">
        <f t="shared" si="2"/>
        <v/>
      </c>
    </row>
    <row r="36">
      <c r="C36" s="129"/>
      <c r="D36" s="129"/>
    </row>
    <row r="37">
      <c r="C37" s="129"/>
      <c r="D37" s="129"/>
    </row>
    <row r="38">
      <c r="C38" s="129"/>
      <c r="D38" s="129"/>
    </row>
    <row r="39">
      <c r="C39" s="129"/>
      <c r="D39" s="129"/>
    </row>
    <row r="40">
      <c r="C40" s="129"/>
      <c r="D40" s="129"/>
    </row>
    <row r="41">
      <c r="C41" s="129"/>
      <c r="D41" s="129"/>
    </row>
    <row r="42">
      <c r="C42" s="129"/>
      <c r="D42" s="129"/>
    </row>
    <row r="43">
      <c r="C43" s="129"/>
      <c r="D43" s="129"/>
    </row>
    <row r="44">
      <c r="C44" s="129"/>
      <c r="D44" s="129"/>
    </row>
    <row r="45">
      <c r="C45" s="129"/>
      <c r="D45" s="129"/>
    </row>
    <row r="46">
      <c r="C46" s="129"/>
      <c r="D46" s="129"/>
    </row>
    <row r="47">
      <c r="C47" s="129"/>
      <c r="D47" s="129"/>
    </row>
    <row r="48">
      <c r="C48" s="129"/>
      <c r="D48" s="129"/>
    </row>
    <row r="49">
      <c r="C49" s="129"/>
      <c r="D49" s="129"/>
    </row>
    <row r="50">
      <c r="C50" s="129"/>
      <c r="D50" s="129"/>
    </row>
    <row r="51">
      <c r="C51" s="129"/>
      <c r="D51" s="129"/>
    </row>
    <row r="52">
      <c r="C52" s="129"/>
      <c r="D52" s="129"/>
    </row>
    <row r="53">
      <c r="C53" s="129"/>
      <c r="D53" s="129"/>
    </row>
    <row r="54">
      <c r="C54" s="129"/>
      <c r="D54" s="129"/>
    </row>
    <row r="55">
      <c r="C55" s="129"/>
      <c r="D55" s="129"/>
    </row>
    <row r="56">
      <c r="C56" s="129"/>
      <c r="D56" s="129"/>
    </row>
    <row r="57">
      <c r="C57" s="129"/>
      <c r="D57" s="129"/>
    </row>
    <row r="58">
      <c r="C58" s="129"/>
      <c r="D58" s="129"/>
    </row>
    <row r="59">
      <c r="C59" s="129"/>
      <c r="D59" s="129"/>
    </row>
    <row r="60">
      <c r="C60" s="129"/>
      <c r="D60" s="129"/>
    </row>
    <row r="61">
      <c r="C61" s="129"/>
      <c r="D61" s="129"/>
    </row>
    <row r="62">
      <c r="C62" s="129"/>
      <c r="D62" s="129"/>
    </row>
    <row r="63">
      <c r="C63" s="129"/>
      <c r="D63" s="129"/>
    </row>
    <row r="64">
      <c r="C64" s="129"/>
      <c r="D64" s="129"/>
    </row>
    <row r="65">
      <c r="C65" s="129"/>
      <c r="D65" s="129"/>
    </row>
    <row r="66">
      <c r="C66" s="129"/>
      <c r="D66" s="129"/>
    </row>
    <row r="67">
      <c r="C67" s="129"/>
      <c r="D67" s="129"/>
    </row>
    <row r="68">
      <c r="C68" s="129"/>
      <c r="D68" s="129"/>
    </row>
    <row r="69">
      <c r="C69" s="129"/>
      <c r="D69" s="129"/>
    </row>
    <row r="70">
      <c r="C70" s="129"/>
      <c r="D70" s="129"/>
    </row>
    <row r="71">
      <c r="C71" s="129"/>
      <c r="D71" s="129"/>
    </row>
    <row r="72">
      <c r="C72" s="129"/>
      <c r="D72" s="129"/>
    </row>
    <row r="73">
      <c r="C73" s="129"/>
      <c r="D73" s="129"/>
    </row>
    <row r="74">
      <c r="C74" s="129"/>
      <c r="D74" s="129"/>
    </row>
    <row r="75">
      <c r="C75" s="129"/>
      <c r="D75" s="129"/>
    </row>
    <row r="76">
      <c r="C76" s="129"/>
      <c r="D76" s="129"/>
    </row>
    <row r="77">
      <c r="C77" s="129"/>
      <c r="D77" s="129"/>
    </row>
    <row r="78">
      <c r="C78" s="129"/>
      <c r="D78" s="129"/>
    </row>
    <row r="79">
      <c r="C79" s="129"/>
      <c r="D79" s="129"/>
    </row>
    <row r="80">
      <c r="C80" s="129"/>
      <c r="D80" s="129"/>
    </row>
    <row r="81">
      <c r="C81" s="129"/>
      <c r="D81" s="129"/>
    </row>
    <row r="82">
      <c r="C82" s="129"/>
      <c r="D82" s="129"/>
    </row>
    <row r="83">
      <c r="C83" s="129"/>
      <c r="D83" s="129"/>
    </row>
    <row r="84">
      <c r="C84" s="129"/>
      <c r="D84" s="129"/>
    </row>
    <row r="85">
      <c r="C85" s="129"/>
      <c r="D85" s="129"/>
    </row>
    <row r="86">
      <c r="C86" s="129"/>
      <c r="D86" s="129"/>
    </row>
    <row r="87">
      <c r="C87" s="129"/>
      <c r="D87" s="129"/>
    </row>
    <row r="88">
      <c r="C88" s="129"/>
      <c r="D88" s="129"/>
    </row>
    <row r="89">
      <c r="C89" s="129"/>
      <c r="D89" s="129"/>
    </row>
    <row r="90">
      <c r="C90" s="129"/>
      <c r="D90" s="129"/>
    </row>
    <row r="91">
      <c r="C91" s="129"/>
      <c r="D91" s="129"/>
    </row>
    <row r="92">
      <c r="C92" s="129"/>
      <c r="D92" s="129"/>
    </row>
    <row r="93">
      <c r="C93" s="129"/>
      <c r="D93" s="129"/>
    </row>
    <row r="94">
      <c r="C94" s="129"/>
      <c r="D94" s="129"/>
    </row>
    <row r="95">
      <c r="C95" s="129"/>
      <c r="D95" s="129"/>
    </row>
    <row r="96">
      <c r="C96" s="129"/>
      <c r="D96" s="129"/>
    </row>
    <row r="97">
      <c r="C97" s="129"/>
      <c r="D97" s="129"/>
    </row>
    <row r="98">
      <c r="C98" s="129"/>
      <c r="D98" s="129"/>
    </row>
    <row r="99">
      <c r="C99" s="129"/>
      <c r="D99" s="129"/>
    </row>
    <row r="100">
      <c r="C100" s="129"/>
      <c r="D100" s="129"/>
    </row>
    <row r="101">
      <c r="C101" s="129"/>
      <c r="D101" s="129"/>
    </row>
    <row r="102">
      <c r="C102" s="129"/>
      <c r="D102" s="129"/>
    </row>
    <row r="103">
      <c r="C103" s="129"/>
      <c r="D103" s="129"/>
    </row>
    <row r="104">
      <c r="C104" s="129"/>
      <c r="D104" s="129"/>
    </row>
    <row r="105">
      <c r="C105" s="129"/>
      <c r="D105" s="129"/>
    </row>
    <row r="106">
      <c r="C106" s="129"/>
      <c r="D106" s="129"/>
    </row>
    <row r="107">
      <c r="C107" s="129"/>
      <c r="D107" s="129"/>
    </row>
    <row r="108">
      <c r="C108" s="129"/>
      <c r="D108" s="129"/>
    </row>
    <row r="109">
      <c r="C109" s="129"/>
      <c r="D109" s="129"/>
    </row>
    <row r="110">
      <c r="C110" s="129"/>
      <c r="D110" s="129"/>
    </row>
    <row r="111">
      <c r="C111" s="129"/>
      <c r="D111" s="129"/>
    </row>
    <row r="112">
      <c r="C112" s="129"/>
      <c r="D112" s="129"/>
    </row>
    <row r="113">
      <c r="C113" s="129"/>
      <c r="D113" s="129"/>
    </row>
    <row r="114">
      <c r="C114" s="129"/>
      <c r="D114" s="129"/>
    </row>
    <row r="115">
      <c r="C115" s="129"/>
      <c r="D115" s="129"/>
    </row>
    <row r="116">
      <c r="C116" s="129"/>
      <c r="D116" s="129"/>
    </row>
    <row r="117">
      <c r="C117" s="129"/>
      <c r="D117" s="129"/>
    </row>
    <row r="118">
      <c r="C118" s="129"/>
      <c r="D118" s="129"/>
    </row>
    <row r="119">
      <c r="C119" s="129"/>
      <c r="D119" s="129"/>
    </row>
    <row r="120">
      <c r="C120" s="129"/>
      <c r="D120" s="129"/>
    </row>
    <row r="121">
      <c r="C121" s="129"/>
      <c r="D121" s="129"/>
    </row>
    <row r="122">
      <c r="C122" s="129"/>
      <c r="D122" s="129"/>
    </row>
    <row r="123">
      <c r="C123" s="129"/>
      <c r="D123" s="129"/>
    </row>
    <row r="124">
      <c r="C124" s="129"/>
      <c r="D124" s="129"/>
    </row>
    <row r="125">
      <c r="C125" s="129"/>
      <c r="D125" s="129"/>
    </row>
    <row r="126">
      <c r="C126" s="129"/>
      <c r="D126" s="129"/>
    </row>
    <row r="127">
      <c r="C127" s="129"/>
      <c r="D127" s="129"/>
    </row>
    <row r="128">
      <c r="C128" s="129"/>
      <c r="D128" s="129"/>
    </row>
    <row r="129">
      <c r="C129" s="129"/>
      <c r="D129" s="129"/>
    </row>
    <row r="130">
      <c r="C130" s="129"/>
      <c r="D130" s="129"/>
    </row>
    <row r="131">
      <c r="C131" s="129"/>
      <c r="D131" s="129"/>
    </row>
    <row r="132">
      <c r="C132" s="129"/>
      <c r="D132" s="129"/>
    </row>
    <row r="133">
      <c r="C133" s="129"/>
      <c r="D133" s="129"/>
    </row>
    <row r="134">
      <c r="C134" s="129"/>
      <c r="D134" s="129"/>
    </row>
    <row r="135">
      <c r="C135" s="129"/>
      <c r="D135" s="129"/>
    </row>
    <row r="136">
      <c r="C136" s="129"/>
      <c r="D136" s="129"/>
    </row>
    <row r="137">
      <c r="C137" s="129"/>
      <c r="D137" s="129"/>
    </row>
    <row r="138">
      <c r="C138" s="129"/>
      <c r="D138" s="129"/>
    </row>
    <row r="139">
      <c r="C139" s="129"/>
      <c r="D139" s="129"/>
    </row>
    <row r="140">
      <c r="C140" s="129"/>
      <c r="D140" s="129"/>
    </row>
    <row r="141">
      <c r="C141" s="129"/>
      <c r="D141" s="129"/>
    </row>
    <row r="142">
      <c r="C142" s="129"/>
      <c r="D142" s="129"/>
    </row>
    <row r="143">
      <c r="C143" s="129"/>
      <c r="D143" s="129"/>
    </row>
    <row r="144">
      <c r="C144" s="129"/>
      <c r="D144" s="129"/>
    </row>
    <row r="145">
      <c r="C145" s="129"/>
      <c r="D145" s="129"/>
    </row>
    <row r="146">
      <c r="C146" s="129"/>
      <c r="D146" s="129"/>
    </row>
    <row r="147">
      <c r="C147" s="129"/>
      <c r="D147" s="129"/>
    </row>
    <row r="148">
      <c r="C148" s="129"/>
      <c r="D148" s="129"/>
    </row>
    <row r="149">
      <c r="C149" s="129"/>
      <c r="D149" s="129"/>
    </row>
    <row r="150">
      <c r="C150" s="129"/>
      <c r="D150" s="129"/>
    </row>
    <row r="151">
      <c r="C151" s="129"/>
      <c r="D151" s="129"/>
    </row>
    <row r="152">
      <c r="C152" s="129"/>
      <c r="D152" s="129"/>
    </row>
    <row r="153">
      <c r="C153" s="129"/>
      <c r="D153" s="129"/>
    </row>
    <row r="154">
      <c r="C154" s="129"/>
      <c r="D154" s="129"/>
    </row>
    <row r="155">
      <c r="C155" s="129"/>
      <c r="D155" s="129"/>
    </row>
    <row r="156">
      <c r="C156" s="129"/>
      <c r="D156" s="129"/>
    </row>
    <row r="157">
      <c r="C157" s="129"/>
      <c r="D157" s="129"/>
    </row>
    <row r="158">
      <c r="C158" s="129"/>
      <c r="D158" s="129"/>
    </row>
    <row r="159">
      <c r="C159" s="129"/>
      <c r="D159" s="129"/>
    </row>
    <row r="160">
      <c r="C160" s="129"/>
      <c r="D160" s="129"/>
    </row>
    <row r="161">
      <c r="C161" s="129"/>
      <c r="D161" s="129"/>
    </row>
    <row r="162">
      <c r="C162" s="129"/>
      <c r="D162" s="129"/>
    </row>
    <row r="163">
      <c r="C163" s="129"/>
      <c r="D163" s="129"/>
    </row>
    <row r="164">
      <c r="C164" s="129"/>
      <c r="D164" s="129"/>
    </row>
    <row r="165">
      <c r="C165" s="129"/>
      <c r="D165" s="129"/>
    </row>
    <row r="166">
      <c r="C166" s="129"/>
      <c r="D166" s="129"/>
    </row>
    <row r="167">
      <c r="C167" s="129"/>
      <c r="D167" s="129"/>
    </row>
    <row r="168">
      <c r="C168" s="129"/>
      <c r="D168" s="129"/>
    </row>
    <row r="169">
      <c r="C169" s="129"/>
      <c r="D169" s="129"/>
    </row>
    <row r="170">
      <c r="C170" s="129"/>
      <c r="D170" s="129"/>
    </row>
    <row r="171">
      <c r="C171" s="129"/>
      <c r="D171" s="129"/>
    </row>
    <row r="172">
      <c r="C172" s="129"/>
      <c r="D172" s="129"/>
    </row>
    <row r="173">
      <c r="C173" s="129"/>
      <c r="D173" s="129"/>
    </row>
    <row r="174">
      <c r="C174" s="129"/>
      <c r="D174" s="129"/>
    </row>
    <row r="175">
      <c r="C175" s="129"/>
      <c r="D175" s="129"/>
    </row>
    <row r="176">
      <c r="C176" s="129"/>
      <c r="D176" s="129"/>
    </row>
    <row r="177">
      <c r="C177" s="129"/>
      <c r="D177" s="129"/>
    </row>
    <row r="178">
      <c r="C178" s="129"/>
      <c r="D178" s="129"/>
    </row>
    <row r="179">
      <c r="C179" s="129"/>
      <c r="D179" s="129"/>
    </row>
    <row r="180">
      <c r="C180" s="129"/>
      <c r="D180" s="129"/>
    </row>
    <row r="181">
      <c r="C181" s="129"/>
      <c r="D181" s="129"/>
    </row>
    <row r="182">
      <c r="C182" s="129"/>
      <c r="D182" s="129"/>
    </row>
    <row r="183">
      <c r="C183" s="129"/>
      <c r="D183" s="129"/>
    </row>
    <row r="184">
      <c r="C184" s="129"/>
      <c r="D184" s="129"/>
    </row>
    <row r="185">
      <c r="C185" s="129"/>
      <c r="D185" s="129"/>
    </row>
    <row r="186">
      <c r="C186" s="129"/>
      <c r="D186" s="129"/>
    </row>
    <row r="187">
      <c r="C187" s="129"/>
      <c r="D187" s="129"/>
    </row>
    <row r="188">
      <c r="C188" s="129"/>
      <c r="D188" s="129"/>
    </row>
    <row r="189">
      <c r="C189" s="129"/>
      <c r="D189" s="129"/>
    </row>
    <row r="190">
      <c r="C190" s="129"/>
      <c r="D190" s="129"/>
    </row>
    <row r="191">
      <c r="C191" s="129"/>
      <c r="D191" s="129"/>
    </row>
    <row r="192">
      <c r="C192" s="129"/>
      <c r="D192" s="129"/>
    </row>
    <row r="193">
      <c r="C193" s="129"/>
      <c r="D193" s="129"/>
    </row>
    <row r="194">
      <c r="C194" s="129"/>
      <c r="D194" s="129"/>
    </row>
    <row r="195">
      <c r="C195" s="129"/>
      <c r="D195" s="129"/>
    </row>
    <row r="196">
      <c r="C196" s="129"/>
      <c r="D196" s="129"/>
    </row>
    <row r="197">
      <c r="C197" s="129"/>
      <c r="D197" s="129"/>
    </row>
    <row r="198">
      <c r="C198" s="129"/>
      <c r="D198" s="129"/>
    </row>
    <row r="199">
      <c r="C199" s="129"/>
      <c r="D199" s="129"/>
    </row>
    <row r="200">
      <c r="C200" s="129"/>
      <c r="D200" s="129"/>
    </row>
    <row r="201">
      <c r="C201" s="129"/>
      <c r="D201" s="129"/>
    </row>
    <row r="202">
      <c r="C202" s="129"/>
      <c r="D202" s="129"/>
    </row>
    <row r="203">
      <c r="C203" s="129"/>
      <c r="D203" s="129"/>
    </row>
    <row r="204">
      <c r="C204" s="129"/>
      <c r="D204" s="129"/>
    </row>
    <row r="205">
      <c r="C205" s="129"/>
      <c r="D205" s="129"/>
    </row>
    <row r="206">
      <c r="C206" s="129"/>
      <c r="D206" s="129"/>
    </row>
    <row r="207">
      <c r="C207" s="129"/>
      <c r="D207" s="129"/>
    </row>
    <row r="208">
      <c r="C208" s="129"/>
      <c r="D208" s="129"/>
    </row>
    <row r="209">
      <c r="C209" s="129"/>
      <c r="D209" s="129"/>
    </row>
    <row r="210">
      <c r="C210" s="129"/>
      <c r="D210" s="129"/>
    </row>
    <row r="211">
      <c r="C211" s="129"/>
      <c r="D211" s="129"/>
    </row>
    <row r="212">
      <c r="C212" s="129"/>
      <c r="D212" s="129"/>
    </row>
    <row r="213">
      <c r="C213" s="129"/>
      <c r="D213" s="129"/>
    </row>
    <row r="214">
      <c r="C214" s="129"/>
      <c r="D214" s="129"/>
    </row>
    <row r="215">
      <c r="C215" s="129"/>
      <c r="D215" s="129"/>
    </row>
    <row r="216">
      <c r="C216" s="129"/>
      <c r="D216" s="129"/>
    </row>
    <row r="217">
      <c r="C217" s="129"/>
      <c r="D217" s="129"/>
    </row>
    <row r="218">
      <c r="C218" s="129"/>
      <c r="D218" s="129"/>
    </row>
    <row r="219">
      <c r="C219" s="129"/>
      <c r="D219" s="129"/>
    </row>
    <row r="220">
      <c r="C220" s="129"/>
      <c r="D220" s="129"/>
    </row>
    <row r="221">
      <c r="C221" s="129"/>
      <c r="D221" s="129"/>
    </row>
    <row r="222">
      <c r="C222" s="129"/>
      <c r="D222" s="129"/>
    </row>
    <row r="223">
      <c r="C223" s="129"/>
      <c r="D223" s="129"/>
    </row>
    <row r="224">
      <c r="C224" s="129"/>
      <c r="D224" s="129"/>
    </row>
    <row r="225">
      <c r="C225" s="129"/>
      <c r="D225" s="129"/>
    </row>
    <row r="226">
      <c r="C226" s="129"/>
      <c r="D226" s="129"/>
    </row>
    <row r="227">
      <c r="C227" s="129"/>
      <c r="D227" s="129"/>
    </row>
    <row r="228">
      <c r="C228" s="129"/>
      <c r="D228" s="129"/>
    </row>
    <row r="229">
      <c r="C229" s="129"/>
      <c r="D229" s="129"/>
    </row>
    <row r="230">
      <c r="C230" s="129"/>
      <c r="D230" s="129"/>
    </row>
    <row r="231">
      <c r="C231" s="129"/>
      <c r="D231" s="129"/>
    </row>
    <row r="232">
      <c r="C232" s="129"/>
      <c r="D232" s="129"/>
    </row>
    <row r="233">
      <c r="C233" s="129"/>
      <c r="D233" s="129"/>
    </row>
    <row r="234">
      <c r="C234" s="129"/>
      <c r="D234" s="129"/>
    </row>
    <row r="235">
      <c r="C235" s="129"/>
      <c r="D235" s="129"/>
    </row>
    <row r="236">
      <c r="C236" s="129"/>
      <c r="D236" s="129"/>
    </row>
    <row r="237">
      <c r="C237" s="129"/>
      <c r="D237" s="129"/>
    </row>
    <row r="238">
      <c r="C238" s="129"/>
      <c r="D238" s="129"/>
    </row>
    <row r="239">
      <c r="C239" s="129"/>
      <c r="D239" s="129"/>
    </row>
    <row r="240">
      <c r="C240" s="129"/>
      <c r="D240" s="129"/>
    </row>
    <row r="241">
      <c r="C241" s="129"/>
      <c r="D241" s="129"/>
    </row>
    <row r="242">
      <c r="C242" s="129"/>
      <c r="D242" s="129"/>
    </row>
    <row r="243">
      <c r="C243" s="129"/>
      <c r="D243" s="129"/>
    </row>
    <row r="244">
      <c r="C244" s="129"/>
      <c r="D244" s="129"/>
    </row>
    <row r="245">
      <c r="C245" s="129"/>
      <c r="D245" s="129"/>
    </row>
    <row r="246">
      <c r="C246" s="129"/>
      <c r="D246" s="129"/>
    </row>
    <row r="247">
      <c r="C247" s="129"/>
      <c r="D247" s="129"/>
    </row>
    <row r="248">
      <c r="C248" s="129"/>
      <c r="D248" s="129"/>
    </row>
    <row r="249">
      <c r="C249" s="129"/>
      <c r="D249" s="129"/>
    </row>
    <row r="250">
      <c r="C250" s="129"/>
      <c r="D250" s="129"/>
    </row>
    <row r="251">
      <c r="C251" s="129"/>
      <c r="D251" s="129"/>
    </row>
    <row r="252">
      <c r="C252" s="129"/>
      <c r="D252" s="129"/>
    </row>
    <row r="253">
      <c r="C253" s="129"/>
      <c r="D253" s="129"/>
    </row>
    <row r="254">
      <c r="C254" s="129"/>
      <c r="D254" s="129"/>
    </row>
    <row r="255">
      <c r="C255" s="129"/>
      <c r="D255" s="129"/>
    </row>
    <row r="256">
      <c r="C256" s="129"/>
      <c r="D256" s="129"/>
    </row>
    <row r="257">
      <c r="C257" s="129"/>
      <c r="D257" s="129"/>
    </row>
    <row r="258">
      <c r="C258" s="129"/>
      <c r="D258" s="129"/>
    </row>
    <row r="259">
      <c r="C259" s="129"/>
      <c r="D259" s="129"/>
    </row>
    <row r="260">
      <c r="C260" s="129"/>
      <c r="D260" s="129"/>
    </row>
    <row r="261">
      <c r="C261" s="129"/>
      <c r="D261" s="129"/>
    </row>
    <row r="262">
      <c r="C262" s="129"/>
      <c r="D262" s="129"/>
    </row>
    <row r="263">
      <c r="C263" s="129"/>
      <c r="D263" s="129"/>
    </row>
    <row r="264">
      <c r="C264" s="129"/>
      <c r="D264" s="129"/>
    </row>
    <row r="265">
      <c r="C265" s="129"/>
      <c r="D265" s="129"/>
    </row>
    <row r="266">
      <c r="C266" s="129"/>
      <c r="D266" s="129"/>
    </row>
    <row r="267">
      <c r="C267" s="129"/>
      <c r="D267" s="129"/>
    </row>
    <row r="268">
      <c r="C268" s="129"/>
      <c r="D268" s="129"/>
    </row>
    <row r="269">
      <c r="C269" s="129"/>
      <c r="D269" s="129"/>
    </row>
    <row r="270">
      <c r="C270" s="129"/>
      <c r="D270" s="129"/>
    </row>
    <row r="271">
      <c r="C271" s="129"/>
      <c r="D271" s="129"/>
    </row>
    <row r="272">
      <c r="C272" s="129"/>
      <c r="D272" s="129"/>
    </row>
    <row r="273">
      <c r="C273" s="129"/>
      <c r="D273" s="129"/>
    </row>
    <row r="274">
      <c r="C274" s="129"/>
      <c r="D274" s="129"/>
    </row>
    <row r="275">
      <c r="C275" s="129"/>
      <c r="D275" s="129"/>
    </row>
    <row r="276">
      <c r="C276" s="129"/>
      <c r="D276" s="129"/>
    </row>
    <row r="277">
      <c r="C277" s="129"/>
      <c r="D277" s="129"/>
    </row>
    <row r="278">
      <c r="C278" s="129"/>
      <c r="D278" s="129"/>
    </row>
    <row r="279">
      <c r="C279" s="129"/>
      <c r="D279" s="129"/>
    </row>
    <row r="280">
      <c r="C280" s="129"/>
      <c r="D280" s="129"/>
    </row>
    <row r="281">
      <c r="C281" s="129"/>
      <c r="D281" s="129"/>
    </row>
    <row r="282">
      <c r="C282" s="129"/>
      <c r="D282" s="129"/>
    </row>
    <row r="283">
      <c r="C283" s="129"/>
      <c r="D283" s="129"/>
    </row>
    <row r="284">
      <c r="C284" s="129"/>
      <c r="D284" s="129"/>
    </row>
    <row r="285">
      <c r="C285" s="129"/>
      <c r="D285" s="129"/>
    </row>
    <row r="286">
      <c r="C286" s="129"/>
      <c r="D286" s="129"/>
    </row>
    <row r="287">
      <c r="C287" s="129"/>
      <c r="D287" s="129"/>
    </row>
    <row r="288">
      <c r="C288" s="129"/>
      <c r="D288" s="129"/>
    </row>
    <row r="289">
      <c r="C289" s="129"/>
      <c r="D289" s="129"/>
    </row>
    <row r="290">
      <c r="C290" s="129"/>
      <c r="D290" s="129"/>
    </row>
    <row r="291">
      <c r="C291" s="129"/>
      <c r="D291" s="129"/>
    </row>
    <row r="292">
      <c r="C292" s="129"/>
      <c r="D292" s="129"/>
    </row>
    <row r="293">
      <c r="C293" s="129"/>
      <c r="D293" s="129"/>
    </row>
    <row r="294">
      <c r="C294" s="129"/>
      <c r="D294" s="129"/>
    </row>
    <row r="295">
      <c r="C295" s="129"/>
      <c r="D295" s="129"/>
    </row>
    <row r="296">
      <c r="C296" s="129"/>
      <c r="D296" s="129"/>
    </row>
    <row r="297">
      <c r="C297" s="129"/>
      <c r="D297" s="129"/>
    </row>
    <row r="298">
      <c r="C298" s="129"/>
      <c r="D298" s="129"/>
    </row>
    <row r="299">
      <c r="C299" s="129"/>
      <c r="D299" s="129"/>
    </row>
    <row r="300">
      <c r="C300" s="129"/>
      <c r="D300" s="129"/>
    </row>
    <row r="301">
      <c r="C301" s="129"/>
      <c r="D301" s="129"/>
    </row>
    <row r="302">
      <c r="C302" s="129"/>
      <c r="D302" s="129"/>
    </row>
    <row r="303">
      <c r="C303" s="129"/>
      <c r="D303" s="129"/>
    </row>
    <row r="304">
      <c r="C304" s="129"/>
      <c r="D304" s="129"/>
    </row>
    <row r="305">
      <c r="C305" s="129"/>
      <c r="D305" s="129"/>
    </row>
    <row r="306">
      <c r="C306" s="129"/>
      <c r="D306" s="129"/>
    </row>
    <row r="307">
      <c r="C307" s="129"/>
      <c r="D307" s="129"/>
    </row>
    <row r="308">
      <c r="C308" s="129"/>
      <c r="D308" s="129"/>
    </row>
    <row r="309">
      <c r="C309" s="129"/>
      <c r="D309" s="129"/>
    </row>
    <row r="310">
      <c r="C310" s="129"/>
      <c r="D310" s="129"/>
    </row>
    <row r="311">
      <c r="C311" s="129"/>
      <c r="D311" s="129"/>
    </row>
    <row r="312">
      <c r="C312" s="129"/>
      <c r="D312" s="129"/>
    </row>
    <row r="313">
      <c r="C313" s="129"/>
      <c r="D313" s="129"/>
    </row>
    <row r="314">
      <c r="C314" s="129"/>
      <c r="D314" s="129"/>
    </row>
    <row r="315">
      <c r="C315" s="129"/>
      <c r="D315" s="129"/>
    </row>
    <row r="316">
      <c r="C316" s="129"/>
      <c r="D316" s="129"/>
    </row>
    <row r="317">
      <c r="C317" s="129"/>
      <c r="D317" s="129"/>
    </row>
    <row r="318">
      <c r="C318" s="129"/>
      <c r="D318" s="129"/>
    </row>
    <row r="319">
      <c r="C319" s="129"/>
      <c r="D319" s="129"/>
    </row>
    <row r="320">
      <c r="C320" s="129"/>
      <c r="D320" s="129"/>
    </row>
    <row r="321">
      <c r="C321" s="129"/>
      <c r="D321" s="129"/>
    </row>
    <row r="322">
      <c r="C322" s="129"/>
      <c r="D322" s="129"/>
    </row>
    <row r="323">
      <c r="C323" s="129"/>
      <c r="D323" s="129"/>
    </row>
    <row r="324">
      <c r="C324" s="129"/>
      <c r="D324" s="129"/>
    </row>
    <row r="325">
      <c r="C325" s="129"/>
      <c r="D325" s="129"/>
    </row>
    <row r="326">
      <c r="C326" s="129"/>
      <c r="D326" s="129"/>
    </row>
    <row r="327">
      <c r="C327" s="129"/>
      <c r="D327" s="129"/>
    </row>
    <row r="328">
      <c r="C328" s="129"/>
      <c r="D328" s="129"/>
    </row>
    <row r="329">
      <c r="C329" s="129"/>
      <c r="D329" s="129"/>
    </row>
    <row r="330">
      <c r="C330" s="129"/>
      <c r="D330" s="129"/>
    </row>
    <row r="331">
      <c r="C331" s="129"/>
      <c r="D331" s="129"/>
    </row>
    <row r="332">
      <c r="C332" s="129"/>
      <c r="D332" s="129"/>
    </row>
    <row r="333">
      <c r="C333" s="129"/>
      <c r="D333" s="129"/>
    </row>
    <row r="334">
      <c r="C334" s="129"/>
      <c r="D334" s="129"/>
    </row>
    <row r="335">
      <c r="C335" s="129"/>
      <c r="D335" s="129"/>
    </row>
    <row r="336">
      <c r="C336" s="129"/>
      <c r="D336" s="129"/>
    </row>
    <row r="337">
      <c r="C337" s="129"/>
      <c r="D337" s="129"/>
    </row>
    <row r="338">
      <c r="C338" s="129"/>
      <c r="D338" s="129"/>
    </row>
    <row r="339">
      <c r="C339" s="129"/>
      <c r="D339" s="129"/>
    </row>
    <row r="340">
      <c r="C340" s="129"/>
      <c r="D340" s="129"/>
    </row>
    <row r="341">
      <c r="C341" s="129"/>
      <c r="D341" s="129"/>
    </row>
    <row r="342">
      <c r="C342" s="129"/>
      <c r="D342" s="129"/>
    </row>
    <row r="343">
      <c r="C343" s="129"/>
      <c r="D343" s="129"/>
    </row>
    <row r="344">
      <c r="C344" s="129"/>
      <c r="D344" s="129"/>
    </row>
    <row r="345">
      <c r="C345" s="129"/>
      <c r="D345" s="129"/>
    </row>
    <row r="346">
      <c r="C346" s="129"/>
      <c r="D346" s="129"/>
    </row>
    <row r="347">
      <c r="C347" s="129"/>
      <c r="D347" s="129"/>
    </row>
    <row r="348">
      <c r="C348" s="129"/>
      <c r="D348" s="129"/>
    </row>
    <row r="349">
      <c r="C349" s="129"/>
      <c r="D349" s="129"/>
    </row>
    <row r="350">
      <c r="C350" s="129"/>
      <c r="D350" s="129"/>
    </row>
    <row r="351">
      <c r="C351" s="129"/>
      <c r="D351" s="129"/>
    </row>
    <row r="352">
      <c r="C352" s="129"/>
      <c r="D352" s="129"/>
    </row>
    <row r="353">
      <c r="C353" s="129"/>
      <c r="D353" s="129"/>
    </row>
    <row r="354">
      <c r="C354" s="129"/>
      <c r="D354" s="129"/>
    </row>
    <row r="355">
      <c r="C355" s="129"/>
      <c r="D355" s="129"/>
    </row>
    <row r="356">
      <c r="C356" s="129"/>
      <c r="D356" s="129"/>
    </row>
    <row r="357">
      <c r="C357" s="129"/>
      <c r="D357" s="129"/>
    </row>
    <row r="358">
      <c r="C358" s="129"/>
      <c r="D358" s="129"/>
    </row>
    <row r="359">
      <c r="C359" s="129"/>
      <c r="D359" s="129"/>
    </row>
    <row r="360">
      <c r="C360" s="129"/>
      <c r="D360" s="129"/>
    </row>
    <row r="361">
      <c r="C361" s="129"/>
      <c r="D361" s="129"/>
    </row>
    <row r="362">
      <c r="C362" s="129"/>
      <c r="D362" s="129"/>
    </row>
    <row r="363">
      <c r="C363" s="129"/>
      <c r="D363" s="129"/>
    </row>
    <row r="364">
      <c r="C364" s="129"/>
      <c r="D364" s="129"/>
    </row>
    <row r="365">
      <c r="C365" s="129"/>
      <c r="D365" s="129"/>
    </row>
    <row r="366">
      <c r="C366" s="129"/>
      <c r="D366" s="129"/>
    </row>
    <row r="367">
      <c r="C367" s="129"/>
      <c r="D367" s="129"/>
    </row>
    <row r="368">
      <c r="C368" s="129"/>
      <c r="D368" s="129"/>
    </row>
    <row r="369">
      <c r="C369" s="129"/>
      <c r="D369" s="129"/>
    </row>
    <row r="370">
      <c r="C370" s="129"/>
      <c r="D370" s="129"/>
    </row>
    <row r="371">
      <c r="C371" s="129"/>
      <c r="D371" s="129"/>
    </row>
    <row r="372">
      <c r="C372" s="129"/>
      <c r="D372" s="129"/>
    </row>
    <row r="373">
      <c r="C373" s="129"/>
      <c r="D373" s="129"/>
    </row>
    <row r="374">
      <c r="C374" s="129"/>
      <c r="D374" s="129"/>
    </row>
    <row r="375">
      <c r="C375" s="129"/>
      <c r="D375" s="129"/>
    </row>
    <row r="376">
      <c r="C376" s="129"/>
      <c r="D376" s="129"/>
    </row>
    <row r="377">
      <c r="C377" s="129"/>
      <c r="D377" s="129"/>
    </row>
    <row r="378">
      <c r="C378" s="129"/>
      <c r="D378" s="129"/>
    </row>
    <row r="379">
      <c r="C379" s="129"/>
      <c r="D379" s="129"/>
    </row>
    <row r="380">
      <c r="C380" s="129"/>
      <c r="D380" s="129"/>
    </row>
    <row r="381">
      <c r="C381" s="129"/>
      <c r="D381" s="129"/>
    </row>
    <row r="382">
      <c r="C382" s="129"/>
      <c r="D382" s="129"/>
    </row>
    <row r="383">
      <c r="C383" s="129"/>
      <c r="D383" s="129"/>
    </row>
    <row r="384">
      <c r="C384" s="129"/>
      <c r="D384" s="129"/>
    </row>
    <row r="385">
      <c r="C385" s="129"/>
      <c r="D385" s="129"/>
    </row>
    <row r="386">
      <c r="C386" s="129"/>
      <c r="D386" s="129"/>
    </row>
    <row r="387">
      <c r="C387" s="129"/>
      <c r="D387" s="129"/>
    </row>
    <row r="388">
      <c r="C388" s="129"/>
      <c r="D388" s="129"/>
    </row>
    <row r="389">
      <c r="C389" s="129"/>
      <c r="D389" s="129"/>
    </row>
    <row r="390">
      <c r="C390" s="129"/>
      <c r="D390" s="129"/>
    </row>
    <row r="391">
      <c r="C391" s="129"/>
      <c r="D391" s="129"/>
    </row>
    <row r="392">
      <c r="C392" s="129"/>
      <c r="D392" s="129"/>
    </row>
    <row r="393">
      <c r="C393" s="129"/>
      <c r="D393" s="129"/>
    </row>
    <row r="394">
      <c r="C394" s="129"/>
      <c r="D394" s="129"/>
    </row>
    <row r="395">
      <c r="C395" s="129"/>
      <c r="D395" s="129"/>
    </row>
    <row r="396">
      <c r="C396" s="129"/>
      <c r="D396" s="129"/>
    </row>
    <row r="397">
      <c r="C397" s="129"/>
      <c r="D397" s="129"/>
    </row>
    <row r="398">
      <c r="C398" s="129"/>
      <c r="D398" s="129"/>
    </row>
    <row r="399">
      <c r="C399" s="129"/>
      <c r="D399" s="129"/>
    </row>
    <row r="400">
      <c r="C400" s="129"/>
      <c r="D400" s="129"/>
    </row>
    <row r="401">
      <c r="C401" s="129"/>
      <c r="D401" s="129"/>
    </row>
    <row r="402">
      <c r="C402" s="129"/>
      <c r="D402" s="129"/>
    </row>
    <row r="403">
      <c r="C403" s="129"/>
      <c r="D403" s="129"/>
    </row>
    <row r="404">
      <c r="C404" s="129"/>
      <c r="D404" s="129"/>
    </row>
    <row r="405">
      <c r="C405" s="129"/>
      <c r="D405" s="129"/>
    </row>
    <row r="406">
      <c r="C406" s="129"/>
      <c r="D406" s="129"/>
    </row>
    <row r="407">
      <c r="C407" s="129"/>
      <c r="D407" s="129"/>
    </row>
    <row r="408">
      <c r="C408" s="129"/>
      <c r="D408" s="129"/>
    </row>
    <row r="409">
      <c r="C409" s="129"/>
      <c r="D409" s="129"/>
    </row>
    <row r="410">
      <c r="C410" s="129"/>
      <c r="D410" s="129"/>
    </row>
    <row r="411">
      <c r="C411" s="129"/>
      <c r="D411" s="129"/>
    </row>
    <row r="412">
      <c r="C412" s="129"/>
      <c r="D412" s="129"/>
    </row>
    <row r="413">
      <c r="C413" s="129"/>
      <c r="D413" s="129"/>
    </row>
    <row r="414">
      <c r="C414" s="129"/>
      <c r="D414" s="129"/>
    </row>
    <row r="415">
      <c r="C415" s="129"/>
      <c r="D415" s="129"/>
    </row>
    <row r="416">
      <c r="C416" s="129"/>
      <c r="D416" s="129"/>
    </row>
    <row r="417">
      <c r="C417" s="129"/>
      <c r="D417" s="129"/>
    </row>
    <row r="418">
      <c r="C418" s="129"/>
      <c r="D418" s="129"/>
    </row>
    <row r="419">
      <c r="C419" s="129"/>
      <c r="D419" s="129"/>
    </row>
    <row r="420">
      <c r="C420" s="129"/>
      <c r="D420" s="129"/>
    </row>
    <row r="421">
      <c r="C421" s="129"/>
      <c r="D421" s="129"/>
    </row>
    <row r="422">
      <c r="C422" s="129"/>
      <c r="D422" s="129"/>
    </row>
    <row r="423">
      <c r="C423" s="129"/>
      <c r="D423" s="129"/>
    </row>
    <row r="424">
      <c r="C424" s="129"/>
      <c r="D424" s="129"/>
    </row>
    <row r="425">
      <c r="C425" s="129"/>
      <c r="D425" s="129"/>
    </row>
    <row r="426">
      <c r="C426" s="129"/>
      <c r="D426" s="129"/>
    </row>
    <row r="427">
      <c r="C427" s="129"/>
      <c r="D427" s="129"/>
    </row>
    <row r="428">
      <c r="C428" s="129"/>
      <c r="D428" s="129"/>
    </row>
    <row r="429">
      <c r="C429" s="129"/>
      <c r="D429" s="129"/>
    </row>
    <row r="430">
      <c r="C430" s="129"/>
      <c r="D430" s="129"/>
    </row>
    <row r="431">
      <c r="C431" s="129"/>
      <c r="D431" s="129"/>
    </row>
    <row r="432">
      <c r="C432" s="129"/>
      <c r="D432" s="129"/>
    </row>
    <row r="433">
      <c r="C433" s="129"/>
      <c r="D433" s="129"/>
    </row>
    <row r="434">
      <c r="C434" s="129"/>
      <c r="D434" s="129"/>
    </row>
    <row r="435">
      <c r="C435" s="129"/>
      <c r="D435" s="129"/>
    </row>
    <row r="436">
      <c r="C436" s="129"/>
      <c r="D436" s="129"/>
    </row>
    <row r="437">
      <c r="C437" s="129"/>
      <c r="D437" s="129"/>
    </row>
    <row r="438">
      <c r="C438" s="129"/>
      <c r="D438" s="129"/>
    </row>
    <row r="439">
      <c r="C439" s="129"/>
      <c r="D439" s="129"/>
    </row>
    <row r="440">
      <c r="C440" s="129"/>
      <c r="D440" s="129"/>
    </row>
    <row r="441">
      <c r="C441" s="129"/>
      <c r="D441" s="129"/>
    </row>
    <row r="442">
      <c r="C442" s="129"/>
      <c r="D442" s="129"/>
    </row>
    <row r="443">
      <c r="C443" s="129"/>
      <c r="D443" s="129"/>
    </row>
    <row r="444">
      <c r="C444" s="129"/>
      <c r="D444" s="129"/>
    </row>
    <row r="445">
      <c r="C445" s="129"/>
      <c r="D445" s="129"/>
    </row>
    <row r="446">
      <c r="C446" s="129"/>
      <c r="D446" s="129"/>
    </row>
    <row r="447">
      <c r="C447" s="129"/>
      <c r="D447" s="129"/>
    </row>
    <row r="448">
      <c r="C448" s="129"/>
      <c r="D448" s="129"/>
    </row>
    <row r="449">
      <c r="C449" s="129"/>
      <c r="D449" s="129"/>
    </row>
    <row r="450">
      <c r="C450" s="129"/>
      <c r="D450" s="129"/>
    </row>
    <row r="451">
      <c r="C451" s="129"/>
      <c r="D451" s="129"/>
    </row>
    <row r="452">
      <c r="C452" s="129"/>
      <c r="D452" s="129"/>
    </row>
    <row r="453">
      <c r="C453" s="129"/>
      <c r="D453" s="129"/>
    </row>
    <row r="454">
      <c r="C454" s="129"/>
      <c r="D454" s="129"/>
    </row>
    <row r="455">
      <c r="C455" s="129"/>
      <c r="D455" s="129"/>
    </row>
    <row r="456">
      <c r="C456" s="129"/>
      <c r="D456" s="129"/>
    </row>
    <row r="457">
      <c r="C457" s="129"/>
      <c r="D457" s="129"/>
    </row>
    <row r="458">
      <c r="C458" s="129"/>
      <c r="D458" s="129"/>
    </row>
    <row r="459">
      <c r="C459" s="129"/>
      <c r="D459" s="129"/>
    </row>
    <row r="460">
      <c r="C460" s="129"/>
      <c r="D460" s="129"/>
    </row>
    <row r="461">
      <c r="C461" s="129"/>
      <c r="D461" s="129"/>
    </row>
    <row r="462">
      <c r="C462" s="129"/>
      <c r="D462" s="129"/>
    </row>
    <row r="463">
      <c r="C463" s="129"/>
      <c r="D463" s="129"/>
    </row>
    <row r="464">
      <c r="C464" s="129"/>
      <c r="D464" s="129"/>
    </row>
    <row r="465">
      <c r="C465" s="129"/>
      <c r="D465" s="129"/>
    </row>
    <row r="466">
      <c r="C466" s="129"/>
      <c r="D466" s="129"/>
    </row>
    <row r="467">
      <c r="C467" s="129"/>
      <c r="D467" s="129"/>
    </row>
    <row r="468">
      <c r="C468" s="129"/>
      <c r="D468" s="129"/>
    </row>
    <row r="469">
      <c r="C469" s="129"/>
      <c r="D469" s="129"/>
    </row>
    <row r="470">
      <c r="C470" s="129"/>
      <c r="D470" s="129"/>
    </row>
    <row r="471">
      <c r="C471" s="129"/>
      <c r="D471" s="129"/>
    </row>
    <row r="472">
      <c r="C472" s="129"/>
      <c r="D472" s="129"/>
    </row>
    <row r="473">
      <c r="C473" s="129"/>
      <c r="D473" s="129"/>
    </row>
    <row r="474">
      <c r="C474" s="129"/>
      <c r="D474" s="129"/>
    </row>
    <row r="475">
      <c r="C475" s="129"/>
      <c r="D475" s="129"/>
    </row>
    <row r="476">
      <c r="C476" s="129"/>
      <c r="D476" s="129"/>
    </row>
    <row r="477">
      <c r="C477" s="129"/>
      <c r="D477" s="129"/>
    </row>
    <row r="478">
      <c r="C478" s="129"/>
      <c r="D478" s="129"/>
    </row>
    <row r="479">
      <c r="C479" s="129"/>
      <c r="D479" s="129"/>
    </row>
    <row r="480">
      <c r="C480" s="129"/>
      <c r="D480" s="129"/>
    </row>
    <row r="481">
      <c r="C481" s="129"/>
      <c r="D481" s="129"/>
    </row>
    <row r="482">
      <c r="C482" s="129"/>
      <c r="D482" s="129"/>
    </row>
    <row r="483">
      <c r="C483" s="129"/>
      <c r="D483" s="129"/>
    </row>
    <row r="484">
      <c r="C484" s="129"/>
      <c r="D484" s="129"/>
    </row>
    <row r="485">
      <c r="C485" s="129"/>
      <c r="D485" s="129"/>
    </row>
    <row r="486">
      <c r="C486" s="129"/>
      <c r="D486" s="129"/>
    </row>
    <row r="487">
      <c r="C487" s="129"/>
      <c r="D487" s="129"/>
    </row>
    <row r="488">
      <c r="C488" s="129"/>
      <c r="D488" s="129"/>
    </row>
    <row r="489">
      <c r="C489" s="129"/>
      <c r="D489" s="129"/>
    </row>
    <row r="490">
      <c r="C490" s="129"/>
      <c r="D490" s="129"/>
    </row>
    <row r="491">
      <c r="C491" s="129"/>
      <c r="D491" s="129"/>
    </row>
    <row r="492">
      <c r="C492" s="129"/>
      <c r="D492" s="129"/>
    </row>
    <row r="493">
      <c r="C493" s="129"/>
      <c r="D493" s="129"/>
    </row>
    <row r="494">
      <c r="C494" s="129"/>
      <c r="D494" s="129"/>
    </row>
    <row r="495">
      <c r="C495" s="129"/>
      <c r="D495" s="129"/>
    </row>
    <row r="496">
      <c r="C496" s="129"/>
      <c r="D496" s="129"/>
    </row>
    <row r="497">
      <c r="C497" s="129"/>
      <c r="D497" s="129"/>
    </row>
    <row r="498">
      <c r="C498" s="129"/>
      <c r="D498" s="129"/>
    </row>
    <row r="499">
      <c r="C499" s="129"/>
      <c r="D499" s="129"/>
    </row>
    <row r="500">
      <c r="C500" s="129"/>
      <c r="D500" s="129"/>
    </row>
    <row r="501">
      <c r="C501" s="129"/>
      <c r="D501" s="129"/>
    </row>
    <row r="502">
      <c r="C502" s="129"/>
      <c r="D502" s="129"/>
    </row>
    <row r="503">
      <c r="C503" s="129"/>
      <c r="D503" s="129"/>
    </row>
    <row r="504">
      <c r="C504" s="129"/>
      <c r="D504" s="129"/>
    </row>
    <row r="505">
      <c r="C505" s="129"/>
      <c r="D505" s="129"/>
    </row>
    <row r="506">
      <c r="C506" s="129"/>
      <c r="D506" s="129"/>
    </row>
    <row r="507">
      <c r="C507" s="129"/>
      <c r="D507" s="129"/>
    </row>
    <row r="508">
      <c r="C508" s="129"/>
      <c r="D508" s="129"/>
    </row>
    <row r="509">
      <c r="C509" s="129"/>
      <c r="D509" s="129"/>
    </row>
    <row r="510">
      <c r="C510" s="129"/>
      <c r="D510" s="129"/>
    </row>
    <row r="511">
      <c r="C511" s="129"/>
      <c r="D511" s="129"/>
    </row>
    <row r="512">
      <c r="C512" s="129"/>
      <c r="D512" s="129"/>
    </row>
    <row r="513">
      <c r="C513" s="129"/>
      <c r="D513" s="129"/>
    </row>
    <row r="514">
      <c r="C514" s="129"/>
      <c r="D514" s="129"/>
    </row>
    <row r="515">
      <c r="C515" s="129"/>
      <c r="D515" s="129"/>
    </row>
    <row r="516">
      <c r="C516" s="129"/>
      <c r="D516" s="129"/>
    </row>
    <row r="517">
      <c r="C517" s="129"/>
      <c r="D517" s="129"/>
    </row>
    <row r="518">
      <c r="C518" s="129"/>
      <c r="D518" s="129"/>
    </row>
    <row r="519">
      <c r="C519" s="129"/>
      <c r="D519" s="129"/>
    </row>
    <row r="520">
      <c r="C520" s="129"/>
      <c r="D520" s="129"/>
    </row>
    <row r="521">
      <c r="C521" s="129"/>
      <c r="D521" s="129"/>
    </row>
    <row r="522">
      <c r="C522" s="129"/>
      <c r="D522" s="129"/>
    </row>
    <row r="523">
      <c r="C523" s="129"/>
      <c r="D523" s="129"/>
    </row>
    <row r="524">
      <c r="C524" s="129"/>
      <c r="D524" s="129"/>
    </row>
    <row r="525">
      <c r="C525" s="129"/>
      <c r="D525" s="129"/>
    </row>
    <row r="526">
      <c r="C526" s="129"/>
      <c r="D526" s="129"/>
    </row>
    <row r="527">
      <c r="C527" s="129"/>
      <c r="D527" s="129"/>
    </row>
    <row r="528">
      <c r="C528" s="129"/>
      <c r="D528" s="129"/>
    </row>
    <row r="529">
      <c r="C529" s="129"/>
      <c r="D529" s="129"/>
    </row>
    <row r="530">
      <c r="C530" s="129"/>
      <c r="D530" s="129"/>
    </row>
    <row r="531">
      <c r="C531" s="129"/>
      <c r="D531" s="129"/>
    </row>
    <row r="532">
      <c r="C532" s="129"/>
      <c r="D532" s="129"/>
    </row>
    <row r="533">
      <c r="C533" s="129"/>
      <c r="D533" s="129"/>
    </row>
    <row r="534">
      <c r="C534" s="129"/>
      <c r="D534" s="129"/>
    </row>
    <row r="535">
      <c r="C535" s="129"/>
      <c r="D535" s="129"/>
    </row>
    <row r="536">
      <c r="C536" s="129"/>
      <c r="D536" s="129"/>
    </row>
    <row r="537">
      <c r="C537" s="129"/>
      <c r="D537" s="129"/>
    </row>
    <row r="538">
      <c r="C538" s="129"/>
      <c r="D538" s="129"/>
    </row>
    <row r="539">
      <c r="C539" s="129"/>
      <c r="D539" s="129"/>
    </row>
    <row r="540">
      <c r="C540" s="129"/>
      <c r="D540" s="129"/>
    </row>
    <row r="541">
      <c r="C541" s="129"/>
      <c r="D541" s="129"/>
    </row>
    <row r="542">
      <c r="C542" s="129"/>
      <c r="D542" s="129"/>
    </row>
    <row r="543">
      <c r="C543" s="129"/>
      <c r="D543" s="129"/>
    </row>
    <row r="544">
      <c r="C544" s="129"/>
      <c r="D544" s="129"/>
    </row>
    <row r="545">
      <c r="C545" s="129"/>
      <c r="D545" s="129"/>
    </row>
    <row r="546">
      <c r="C546" s="129"/>
      <c r="D546" s="129"/>
    </row>
    <row r="547">
      <c r="C547" s="129"/>
      <c r="D547" s="129"/>
    </row>
    <row r="548">
      <c r="C548" s="129"/>
      <c r="D548" s="129"/>
    </row>
    <row r="549">
      <c r="C549" s="129"/>
      <c r="D549" s="129"/>
    </row>
    <row r="550">
      <c r="C550" s="129"/>
      <c r="D550" s="129"/>
    </row>
    <row r="551">
      <c r="C551" s="129"/>
      <c r="D551" s="129"/>
    </row>
    <row r="552">
      <c r="C552" s="129"/>
      <c r="D552" s="129"/>
    </row>
    <row r="553">
      <c r="C553" s="129"/>
      <c r="D553" s="129"/>
    </row>
    <row r="554">
      <c r="C554" s="129"/>
      <c r="D554" s="129"/>
    </row>
    <row r="555">
      <c r="C555" s="129"/>
      <c r="D555" s="129"/>
    </row>
    <row r="556">
      <c r="C556" s="129"/>
      <c r="D556" s="129"/>
    </row>
    <row r="557">
      <c r="C557" s="129"/>
      <c r="D557" s="129"/>
    </row>
    <row r="558">
      <c r="C558" s="129"/>
      <c r="D558" s="129"/>
    </row>
    <row r="559">
      <c r="C559" s="129"/>
      <c r="D559" s="129"/>
    </row>
    <row r="560">
      <c r="C560" s="129"/>
      <c r="D560" s="129"/>
    </row>
    <row r="561">
      <c r="C561" s="129"/>
      <c r="D561" s="129"/>
    </row>
    <row r="562">
      <c r="C562" s="129"/>
      <c r="D562" s="129"/>
    </row>
    <row r="563">
      <c r="C563" s="129"/>
      <c r="D563" s="129"/>
    </row>
    <row r="564">
      <c r="C564" s="129"/>
      <c r="D564" s="129"/>
    </row>
    <row r="565">
      <c r="C565" s="129"/>
      <c r="D565" s="129"/>
    </row>
    <row r="566">
      <c r="C566" s="129"/>
      <c r="D566" s="129"/>
    </row>
    <row r="567">
      <c r="C567" s="129"/>
      <c r="D567" s="129"/>
    </row>
    <row r="568">
      <c r="C568" s="129"/>
      <c r="D568" s="129"/>
    </row>
    <row r="569">
      <c r="C569" s="129"/>
      <c r="D569" s="129"/>
    </row>
    <row r="570">
      <c r="C570" s="129"/>
      <c r="D570" s="129"/>
    </row>
    <row r="571">
      <c r="C571" s="129"/>
      <c r="D571" s="129"/>
    </row>
    <row r="572">
      <c r="C572" s="129"/>
      <c r="D572" s="129"/>
    </row>
    <row r="573">
      <c r="C573" s="129"/>
      <c r="D573" s="129"/>
    </row>
    <row r="574">
      <c r="C574" s="129"/>
      <c r="D574" s="129"/>
    </row>
    <row r="575">
      <c r="C575" s="129"/>
      <c r="D575" s="129"/>
    </row>
    <row r="576">
      <c r="C576" s="129"/>
      <c r="D576" s="129"/>
    </row>
    <row r="577">
      <c r="C577" s="129"/>
      <c r="D577" s="129"/>
    </row>
    <row r="578">
      <c r="C578" s="129"/>
      <c r="D578" s="129"/>
    </row>
    <row r="579">
      <c r="C579" s="129"/>
      <c r="D579" s="129"/>
    </row>
    <row r="580">
      <c r="C580" s="129"/>
      <c r="D580" s="129"/>
    </row>
    <row r="581">
      <c r="C581" s="129"/>
      <c r="D581" s="129"/>
    </row>
    <row r="582">
      <c r="C582" s="129"/>
      <c r="D582" s="129"/>
    </row>
    <row r="583">
      <c r="C583" s="129"/>
      <c r="D583" s="129"/>
    </row>
    <row r="584">
      <c r="C584" s="129"/>
      <c r="D584" s="129"/>
    </row>
    <row r="585">
      <c r="C585" s="129"/>
      <c r="D585" s="129"/>
    </row>
    <row r="586">
      <c r="C586" s="129"/>
      <c r="D586" s="129"/>
    </row>
    <row r="587">
      <c r="C587" s="129"/>
      <c r="D587" s="129"/>
    </row>
    <row r="588">
      <c r="C588" s="129"/>
      <c r="D588" s="129"/>
    </row>
    <row r="589">
      <c r="C589" s="129"/>
      <c r="D589" s="129"/>
    </row>
    <row r="590">
      <c r="C590" s="129"/>
      <c r="D590" s="129"/>
    </row>
    <row r="591">
      <c r="C591" s="129"/>
      <c r="D591" s="129"/>
    </row>
    <row r="592">
      <c r="C592" s="129"/>
      <c r="D592" s="129"/>
    </row>
    <row r="593">
      <c r="C593" s="129"/>
      <c r="D593" s="129"/>
    </row>
    <row r="594">
      <c r="C594" s="129"/>
      <c r="D594" s="129"/>
    </row>
    <row r="595">
      <c r="C595" s="129"/>
      <c r="D595" s="129"/>
    </row>
    <row r="596">
      <c r="C596" s="129"/>
      <c r="D596" s="129"/>
    </row>
    <row r="597">
      <c r="C597" s="129"/>
      <c r="D597" s="129"/>
    </row>
    <row r="598">
      <c r="C598" s="129"/>
      <c r="D598" s="129"/>
    </row>
    <row r="599">
      <c r="C599" s="129"/>
      <c r="D599" s="129"/>
    </row>
    <row r="600">
      <c r="C600" s="129"/>
      <c r="D600" s="129"/>
    </row>
    <row r="601">
      <c r="C601" s="129"/>
      <c r="D601" s="129"/>
    </row>
    <row r="602">
      <c r="C602" s="129"/>
      <c r="D602" s="129"/>
    </row>
    <row r="603">
      <c r="C603" s="129"/>
      <c r="D603" s="129"/>
    </row>
    <row r="604">
      <c r="C604" s="129"/>
      <c r="D604" s="129"/>
    </row>
    <row r="605">
      <c r="C605" s="129"/>
      <c r="D605" s="129"/>
    </row>
    <row r="606">
      <c r="C606" s="129"/>
      <c r="D606" s="129"/>
    </row>
    <row r="607">
      <c r="C607" s="129"/>
      <c r="D607" s="129"/>
    </row>
    <row r="608">
      <c r="C608" s="129"/>
      <c r="D608" s="129"/>
    </row>
    <row r="609">
      <c r="C609" s="129"/>
      <c r="D609" s="129"/>
    </row>
    <row r="610">
      <c r="C610" s="129"/>
      <c r="D610" s="129"/>
    </row>
    <row r="611">
      <c r="C611" s="129"/>
      <c r="D611" s="129"/>
    </row>
    <row r="612">
      <c r="C612" s="129"/>
      <c r="D612" s="129"/>
    </row>
    <row r="613">
      <c r="C613" s="129"/>
      <c r="D613" s="129"/>
    </row>
    <row r="614">
      <c r="C614" s="129"/>
      <c r="D614" s="129"/>
    </row>
    <row r="615">
      <c r="C615" s="129"/>
      <c r="D615" s="129"/>
    </row>
    <row r="616">
      <c r="C616" s="129"/>
      <c r="D616" s="129"/>
    </row>
    <row r="617">
      <c r="C617" s="129"/>
      <c r="D617" s="129"/>
    </row>
    <row r="618">
      <c r="C618" s="129"/>
      <c r="D618" s="129"/>
    </row>
    <row r="619">
      <c r="C619" s="129"/>
      <c r="D619" s="129"/>
    </row>
    <row r="620">
      <c r="C620" s="129"/>
      <c r="D620" s="129"/>
    </row>
    <row r="621">
      <c r="C621" s="129"/>
      <c r="D621" s="129"/>
    </row>
    <row r="622">
      <c r="C622" s="129"/>
      <c r="D622" s="129"/>
    </row>
    <row r="623">
      <c r="C623" s="129"/>
      <c r="D623" s="129"/>
    </row>
    <row r="624">
      <c r="C624" s="129"/>
      <c r="D624" s="129"/>
    </row>
    <row r="625">
      <c r="C625" s="129"/>
      <c r="D625" s="129"/>
    </row>
    <row r="626">
      <c r="C626" s="129"/>
      <c r="D626" s="129"/>
    </row>
    <row r="627">
      <c r="C627" s="129"/>
      <c r="D627" s="129"/>
    </row>
    <row r="628">
      <c r="C628" s="129"/>
      <c r="D628" s="129"/>
    </row>
    <row r="629">
      <c r="C629" s="129"/>
      <c r="D629" s="129"/>
    </row>
    <row r="630">
      <c r="C630" s="129"/>
      <c r="D630" s="129"/>
    </row>
    <row r="631">
      <c r="C631" s="129"/>
      <c r="D631" s="129"/>
    </row>
    <row r="632">
      <c r="C632" s="129"/>
      <c r="D632" s="129"/>
    </row>
    <row r="633">
      <c r="C633" s="129"/>
      <c r="D633" s="129"/>
    </row>
    <row r="634">
      <c r="C634" s="129"/>
      <c r="D634" s="129"/>
    </row>
    <row r="635">
      <c r="C635" s="129"/>
      <c r="D635" s="129"/>
    </row>
    <row r="636">
      <c r="C636" s="129"/>
      <c r="D636" s="129"/>
    </row>
    <row r="637">
      <c r="C637" s="129"/>
      <c r="D637" s="129"/>
    </row>
    <row r="638">
      <c r="C638" s="129"/>
      <c r="D638" s="129"/>
    </row>
    <row r="639">
      <c r="C639" s="129"/>
      <c r="D639" s="129"/>
    </row>
    <row r="640">
      <c r="C640" s="129"/>
      <c r="D640" s="129"/>
    </row>
    <row r="641">
      <c r="C641" s="129"/>
      <c r="D641" s="129"/>
    </row>
    <row r="642">
      <c r="C642" s="129"/>
      <c r="D642" s="129"/>
    </row>
    <row r="643">
      <c r="C643" s="129"/>
      <c r="D643" s="129"/>
    </row>
    <row r="644">
      <c r="C644" s="129"/>
      <c r="D644" s="129"/>
    </row>
    <row r="645">
      <c r="C645" s="129"/>
      <c r="D645" s="129"/>
    </row>
    <row r="646">
      <c r="C646" s="129"/>
      <c r="D646" s="129"/>
    </row>
    <row r="647">
      <c r="C647" s="129"/>
      <c r="D647" s="129"/>
    </row>
    <row r="648">
      <c r="C648" s="129"/>
      <c r="D648" s="129"/>
    </row>
    <row r="649">
      <c r="C649" s="129"/>
      <c r="D649" s="129"/>
    </row>
    <row r="650">
      <c r="C650" s="129"/>
      <c r="D650" s="129"/>
    </row>
    <row r="651">
      <c r="C651" s="129"/>
      <c r="D651" s="129"/>
    </row>
    <row r="652">
      <c r="C652" s="129"/>
      <c r="D652" s="129"/>
    </row>
    <row r="653">
      <c r="C653" s="129"/>
      <c r="D653" s="129"/>
    </row>
    <row r="654">
      <c r="C654" s="129"/>
      <c r="D654" s="129"/>
    </row>
    <row r="655">
      <c r="C655" s="129"/>
      <c r="D655" s="129"/>
    </row>
    <row r="656">
      <c r="C656" s="129"/>
      <c r="D656" s="129"/>
    </row>
    <row r="657">
      <c r="C657" s="129"/>
      <c r="D657" s="129"/>
    </row>
    <row r="658">
      <c r="C658" s="129"/>
      <c r="D658" s="129"/>
    </row>
    <row r="659">
      <c r="C659" s="129"/>
      <c r="D659" s="129"/>
    </row>
    <row r="660">
      <c r="C660" s="129"/>
      <c r="D660" s="129"/>
    </row>
    <row r="661">
      <c r="C661" s="129"/>
      <c r="D661" s="129"/>
    </row>
    <row r="662">
      <c r="C662" s="129"/>
      <c r="D662" s="129"/>
    </row>
    <row r="663">
      <c r="C663" s="129"/>
      <c r="D663" s="129"/>
    </row>
    <row r="664">
      <c r="C664" s="129"/>
      <c r="D664" s="129"/>
    </row>
    <row r="665">
      <c r="C665" s="129"/>
      <c r="D665" s="129"/>
    </row>
    <row r="666">
      <c r="C666" s="129"/>
      <c r="D666" s="129"/>
    </row>
    <row r="667">
      <c r="C667" s="129"/>
      <c r="D667" s="129"/>
    </row>
    <row r="668">
      <c r="C668" s="129"/>
      <c r="D668" s="129"/>
    </row>
    <row r="669">
      <c r="C669" s="129"/>
      <c r="D669" s="129"/>
    </row>
    <row r="670">
      <c r="C670" s="129"/>
      <c r="D670" s="129"/>
    </row>
    <row r="671">
      <c r="C671" s="129"/>
      <c r="D671" s="129"/>
    </row>
    <row r="672">
      <c r="C672" s="129"/>
      <c r="D672" s="129"/>
    </row>
    <row r="673">
      <c r="C673" s="129"/>
      <c r="D673" s="129"/>
    </row>
    <row r="674">
      <c r="C674" s="129"/>
      <c r="D674" s="129"/>
    </row>
    <row r="675">
      <c r="C675" s="129"/>
      <c r="D675" s="129"/>
    </row>
    <row r="676">
      <c r="C676" s="129"/>
      <c r="D676" s="129"/>
    </row>
    <row r="677">
      <c r="C677" s="129"/>
      <c r="D677" s="129"/>
    </row>
    <row r="678">
      <c r="C678" s="129"/>
      <c r="D678" s="129"/>
    </row>
    <row r="679">
      <c r="C679" s="129"/>
      <c r="D679" s="129"/>
    </row>
    <row r="680">
      <c r="C680" s="129"/>
      <c r="D680" s="129"/>
    </row>
    <row r="681">
      <c r="C681" s="129"/>
      <c r="D681" s="129"/>
    </row>
    <row r="682">
      <c r="C682" s="129"/>
      <c r="D682" s="129"/>
    </row>
    <row r="683">
      <c r="C683" s="129"/>
      <c r="D683" s="129"/>
    </row>
    <row r="684">
      <c r="C684" s="129"/>
      <c r="D684" s="129"/>
    </row>
    <row r="685">
      <c r="C685" s="129"/>
      <c r="D685" s="129"/>
    </row>
    <row r="686">
      <c r="C686" s="129"/>
      <c r="D686" s="129"/>
    </row>
    <row r="687">
      <c r="C687" s="129"/>
      <c r="D687" s="129"/>
    </row>
    <row r="688">
      <c r="C688" s="129"/>
      <c r="D688" s="129"/>
    </row>
    <row r="689">
      <c r="C689" s="129"/>
      <c r="D689" s="129"/>
    </row>
    <row r="690">
      <c r="C690" s="129"/>
      <c r="D690" s="129"/>
    </row>
    <row r="691">
      <c r="C691" s="129"/>
      <c r="D691" s="129"/>
    </row>
    <row r="692">
      <c r="C692" s="129"/>
      <c r="D692" s="129"/>
    </row>
    <row r="693">
      <c r="C693" s="129"/>
      <c r="D693" s="129"/>
    </row>
    <row r="694">
      <c r="C694" s="129"/>
      <c r="D694" s="129"/>
    </row>
    <row r="695">
      <c r="C695" s="129"/>
      <c r="D695" s="129"/>
    </row>
    <row r="696">
      <c r="C696" s="129"/>
      <c r="D696" s="129"/>
    </row>
    <row r="697">
      <c r="C697" s="129"/>
      <c r="D697" s="129"/>
    </row>
    <row r="698">
      <c r="C698" s="129"/>
      <c r="D698" s="129"/>
    </row>
    <row r="699">
      <c r="C699" s="129"/>
      <c r="D699" s="129"/>
    </row>
    <row r="700">
      <c r="C700" s="129"/>
      <c r="D700" s="129"/>
    </row>
    <row r="701">
      <c r="C701" s="129"/>
      <c r="D701" s="129"/>
    </row>
    <row r="702">
      <c r="C702" s="129"/>
      <c r="D702" s="129"/>
    </row>
    <row r="703">
      <c r="C703" s="129"/>
      <c r="D703" s="129"/>
    </row>
    <row r="704">
      <c r="C704" s="129"/>
      <c r="D704" s="129"/>
    </row>
    <row r="705">
      <c r="C705" s="129"/>
      <c r="D705" s="129"/>
    </row>
    <row r="706">
      <c r="C706" s="129"/>
      <c r="D706" s="129"/>
    </row>
    <row r="707">
      <c r="C707" s="129"/>
      <c r="D707" s="129"/>
    </row>
    <row r="708">
      <c r="C708" s="129"/>
      <c r="D708" s="129"/>
    </row>
    <row r="709">
      <c r="C709" s="129"/>
      <c r="D709" s="129"/>
    </row>
    <row r="710">
      <c r="C710" s="129"/>
      <c r="D710" s="129"/>
    </row>
    <row r="711">
      <c r="C711" s="129"/>
      <c r="D711" s="129"/>
    </row>
    <row r="712">
      <c r="C712" s="129"/>
      <c r="D712" s="129"/>
    </row>
    <row r="713">
      <c r="C713" s="129"/>
      <c r="D713" s="129"/>
    </row>
    <row r="714">
      <c r="C714" s="129"/>
      <c r="D714" s="129"/>
    </row>
    <row r="715">
      <c r="C715" s="129"/>
      <c r="D715" s="129"/>
    </row>
    <row r="716">
      <c r="C716" s="129"/>
      <c r="D716" s="129"/>
    </row>
    <row r="717">
      <c r="C717" s="129"/>
      <c r="D717" s="129"/>
    </row>
    <row r="718">
      <c r="C718" s="129"/>
      <c r="D718" s="129"/>
    </row>
    <row r="719">
      <c r="C719" s="129"/>
      <c r="D719" s="129"/>
    </row>
    <row r="720">
      <c r="C720" s="129"/>
      <c r="D720" s="129"/>
    </row>
    <row r="721">
      <c r="C721" s="129"/>
      <c r="D721" s="129"/>
    </row>
    <row r="722">
      <c r="C722" s="129"/>
      <c r="D722" s="129"/>
    </row>
    <row r="723">
      <c r="C723" s="129"/>
      <c r="D723" s="129"/>
    </row>
    <row r="724">
      <c r="C724" s="129"/>
      <c r="D724" s="129"/>
    </row>
    <row r="725">
      <c r="C725" s="129"/>
      <c r="D725" s="129"/>
    </row>
    <row r="726">
      <c r="C726" s="129"/>
      <c r="D726" s="129"/>
    </row>
    <row r="727">
      <c r="C727" s="129"/>
      <c r="D727" s="129"/>
    </row>
    <row r="728">
      <c r="C728" s="129"/>
      <c r="D728" s="129"/>
    </row>
    <row r="729">
      <c r="C729" s="129"/>
      <c r="D729" s="129"/>
    </row>
    <row r="730">
      <c r="C730" s="129"/>
      <c r="D730" s="129"/>
    </row>
    <row r="731">
      <c r="C731" s="129"/>
      <c r="D731" s="129"/>
    </row>
    <row r="732">
      <c r="C732" s="129"/>
      <c r="D732" s="129"/>
    </row>
    <row r="733">
      <c r="C733" s="129"/>
      <c r="D733" s="129"/>
    </row>
    <row r="734">
      <c r="C734" s="129"/>
      <c r="D734" s="129"/>
    </row>
    <row r="735">
      <c r="C735" s="129"/>
      <c r="D735" s="129"/>
    </row>
    <row r="736">
      <c r="C736" s="129"/>
      <c r="D736" s="129"/>
    </row>
    <row r="737">
      <c r="C737" s="129"/>
      <c r="D737" s="129"/>
    </row>
    <row r="738">
      <c r="C738" s="129"/>
      <c r="D738" s="129"/>
    </row>
    <row r="739">
      <c r="C739" s="129"/>
      <c r="D739" s="129"/>
    </row>
    <row r="740">
      <c r="C740" s="129"/>
      <c r="D740" s="129"/>
    </row>
    <row r="741">
      <c r="C741" s="129"/>
      <c r="D741" s="129"/>
    </row>
    <row r="742">
      <c r="C742" s="129"/>
      <c r="D742" s="129"/>
    </row>
    <row r="743">
      <c r="C743" s="129"/>
      <c r="D743" s="129"/>
    </row>
    <row r="744">
      <c r="C744" s="129"/>
      <c r="D744" s="129"/>
    </row>
    <row r="745">
      <c r="C745" s="129"/>
      <c r="D745" s="129"/>
    </row>
    <row r="746">
      <c r="C746" s="129"/>
      <c r="D746" s="129"/>
    </row>
    <row r="747">
      <c r="C747" s="129"/>
      <c r="D747" s="129"/>
    </row>
    <row r="748">
      <c r="C748" s="129"/>
      <c r="D748" s="129"/>
    </row>
    <row r="749">
      <c r="C749" s="129"/>
      <c r="D749" s="129"/>
    </row>
    <row r="750">
      <c r="C750" s="129"/>
      <c r="D750" s="129"/>
    </row>
    <row r="751">
      <c r="C751" s="129"/>
      <c r="D751" s="129"/>
    </row>
    <row r="752">
      <c r="C752" s="129"/>
      <c r="D752" s="129"/>
    </row>
    <row r="753">
      <c r="C753" s="129"/>
      <c r="D753" s="129"/>
    </row>
    <row r="754">
      <c r="C754" s="129"/>
      <c r="D754" s="129"/>
    </row>
    <row r="755">
      <c r="C755" s="129"/>
      <c r="D755" s="129"/>
    </row>
    <row r="756">
      <c r="C756" s="129"/>
      <c r="D756" s="129"/>
    </row>
    <row r="757">
      <c r="C757" s="129"/>
      <c r="D757" s="129"/>
    </row>
    <row r="758">
      <c r="C758" s="129"/>
      <c r="D758" s="129"/>
    </row>
    <row r="759">
      <c r="C759" s="129"/>
      <c r="D759" s="129"/>
    </row>
    <row r="760">
      <c r="C760" s="129"/>
      <c r="D760" s="129"/>
    </row>
    <row r="761">
      <c r="C761" s="129"/>
      <c r="D761" s="129"/>
    </row>
    <row r="762">
      <c r="C762" s="129"/>
      <c r="D762" s="129"/>
    </row>
    <row r="763">
      <c r="C763" s="129"/>
      <c r="D763" s="129"/>
    </row>
    <row r="764">
      <c r="C764" s="129"/>
      <c r="D764" s="129"/>
    </row>
    <row r="765">
      <c r="C765" s="129"/>
      <c r="D765" s="129"/>
    </row>
    <row r="766">
      <c r="C766" s="129"/>
      <c r="D766" s="129"/>
    </row>
    <row r="767">
      <c r="C767" s="129"/>
      <c r="D767" s="129"/>
    </row>
    <row r="768">
      <c r="C768" s="129"/>
      <c r="D768" s="129"/>
    </row>
    <row r="769">
      <c r="C769" s="129"/>
      <c r="D769" s="129"/>
    </row>
    <row r="770">
      <c r="C770" s="129"/>
      <c r="D770" s="129"/>
    </row>
    <row r="771">
      <c r="C771" s="129"/>
      <c r="D771" s="129"/>
    </row>
    <row r="772">
      <c r="C772" s="129"/>
      <c r="D772" s="129"/>
    </row>
    <row r="773">
      <c r="C773" s="129"/>
      <c r="D773" s="129"/>
    </row>
    <row r="774">
      <c r="C774" s="129"/>
      <c r="D774" s="129"/>
    </row>
    <row r="775">
      <c r="C775" s="129"/>
      <c r="D775" s="129"/>
    </row>
    <row r="776">
      <c r="C776" s="129"/>
      <c r="D776" s="129"/>
    </row>
    <row r="777">
      <c r="C777" s="129"/>
      <c r="D777" s="129"/>
    </row>
    <row r="778">
      <c r="C778" s="129"/>
      <c r="D778" s="129"/>
    </row>
    <row r="779">
      <c r="C779" s="129"/>
      <c r="D779" s="129"/>
    </row>
    <row r="780">
      <c r="C780" s="129"/>
      <c r="D780" s="129"/>
    </row>
    <row r="781">
      <c r="C781" s="129"/>
      <c r="D781" s="129"/>
    </row>
    <row r="782">
      <c r="C782" s="129"/>
      <c r="D782" s="129"/>
    </row>
    <row r="783">
      <c r="C783" s="129"/>
      <c r="D783" s="129"/>
    </row>
    <row r="784">
      <c r="C784" s="129"/>
      <c r="D784" s="129"/>
    </row>
    <row r="785">
      <c r="C785" s="129"/>
      <c r="D785" s="129"/>
    </row>
    <row r="786">
      <c r="C786" s="129"/>
      <c r="D786" s="129"/>
    </row>
    <row r="787">
      <c r="C787" s="129"/>
      <c r="D787" s="129"/>
    </row>
    <row r="788">
      <c r="C788" s="129"/>
      <c r="D788" s="129"/>
    </row>
    <row r="789">
      <c r="C789" s="129"/>
      <c r="D789" s="129"/>
    </row>
    <row r="790">
      <c r="C790" s="129"/>
      <c r="D790" s="129"/>
    </row>
    <row r="791">
      <c r="C791" s="129"/>
      <c r="D791" s="129"/>
    </row>
    <row r="792">
      <c r="C792" s="129"/>
      <c r="D792" s="129"/>
    </row>
    <row r="793">
      <c r="C793" s="129"/>
      <c r="D793" s="129"/>
    </row>
    <row r="794">
      <c r="C794" s="129"/>
      <c r="D794" s="129"/>
    </row>
    <row r="795">
      <c r="C795" s="129"/>
      <c r="D795" s="129"/>
    </row>
    <row r="796">
      <c r="C796" s="129"/>
      <c r="D796" s="129"/>
    </row>
    <row r="797">
      <c r="C797" s="129"/>
      <c r="D797" s="129"/>
    </row>
    <row r="798">
      <c r="C798" s="129"/>
      <c r="D798" s="129"/>
    </row>
    <row r="799">
      <c r="C799" s="129"/>
      <c r="D799" s="129"/>
    </row>
    <row r="800">
      <c r="C800" s="129"/>
      <c r="D800" s="129"/>
    </row>
    <row r="801">
      <c r="C801" s="129"/>
      <c r="D801" s="129"/>
    </row>
    <row r="802">
      <c r="C802" s="129"/>
      <c r="D802" s="129"/>
    </row>
    <row r="803">
      <c r="C803" s="129"/>
      <c r="D803" s="129"/>
    </row>
    <row r="804">
      <c r="C804" s="129"/>
      <c r="D804" s="129"/>
    </row>
    <row r="805">
      <c r="C805" s="129"/>
      <c r="D805" s="129"/>
    </row>
    <row r="806">
      <c r="C806" s="129"/>
      <c r="D806" s="129"/>
    </row>
    <row r="807">
      <c r="C807" s="129"/>
      <c r="D807" s="129"/>
    </row>
    <row r="808">
      <c r="C808" s="129"/>
      <c r="D808" s="129"/>
    </row>
    <row r="809">
      <c r="C809" s="129"/>
      <c r="D809" s="129"/>
    </row>
    <row r="810">
      <c r="C810" s="129"/>
      <c r="D810" s="129"/>
    </row>
    <row r="811">
      <c r="C811" s="129"/>
      <c r="D811" s="129"/>
    </row>
    <row r="812">
      <c r="C812" s="129"/>
      <c r="D812" s="129"/>
    </row>
    <row r="813">
      <c r="C813" s="129"/>
      <c r="D813" s="129"/>
    </row>
    <row r="814">
      <c r="C814" s="129"/>
      <c r="D814" s="129"/>
    </row>
    <row r="815">
      <c r="C815" s="129"/>
      <c r="D815" s="129"/>
    </row>
    <row r="816">
      <c r="C816" s="129"/>
      <c r="D816" s="129"/>
    </row>
    <row r="817">
      <c r="C817" s="129"/>
      <c r="D817" s="129"/>
    </row>
    <row r="818">
      <c r="C818" s="129"/>
      <c r="D818" s="129"/>
    </row>
    <row r="819">
      <c r="C819" s="129"/>
      <c r="D819" s="129"/>
    </row>
    <row r="820">
      <c r="C820" s="129"/>
      <c r="D820" s="129"/>
    </row>
    <row r="821">
      <c r="C821" s="129"/>
      <c r="D821" s="129"/>
    </row>
    <row r="822">
      <c r="C822" s="129"/>
      <c r="D822" s="129"/>
    </row>
    <row r="823">
      <c r="C823" s="129"/>
      <c r="D823" s="129"/>
    </row>
    <row r="824">
      <c r="C824" s="129"/>
      <c r="D824" s="129"/>
    </row>
    <row r="825">
      <c r="C825" s="129"/>
      <c r="D825" s="129"/>
    </row>
    <row r="826">
      <c r="C826" s="129"/>
      <c r="D826" s="129"/>
    </row>
    <row r="827">
      <c r="C827" s="129"/>
      <c r="D827" s="129"/>
    </row>
    <row r="828">
      <c r="C828" s="129"/>
      <c r="D828" s="129"/>
    </row>
    <row r="829">
      <c r="C829" s="129"/>
      <c r="D829" s="129"/>
    </row>
    <row r="830">
      <c r="C830" s="129"/>
      <c r="D830" s="129"/>
    </row>
    <row r="831">
      <c r="C831" s="129"/>
      <c r="D831" s="129"/>
    </row>
    <row r="832">
      <c r="C832" s="129"/>
      <c r="D832" s="129"/>
    </row>
    <row r="833">
      <c r="C833" s="129"/>
      <c r="D833" s="129"/>
    </row>
    <row r="834">
      <c r="C834" s="129"/>
      <c r="D834" s="129"/>
    </row>
    <row r="835">
      <c r="C835" s="129"/>
      <c r="D835" s="129"/>
    </row>
    <row r="836">
      <c r="C836" s="129"/>
      <c r="D836" s="129"/>
    </row>
    <row r="837">
      <c r="C837" s="129"/>
      <c r="D837" s="129"/>
    </row>
    <row r="838">
      <c r="C838" s="129"/>
      <c r="D838" s="129"/>
    </row>
    <row r="839">
      <c r="C839" s="129"/>
      <c r="D839" s="129"/>
    </row>
    <row r="840">
      <c r="C840" s="129"/>
      <c r="D840" s="129"/>
    </row>
    <row r="841">
      <c r="C841" s="129"/>
      <c r="D841" s="129"/>
    </row>
    <row r="842">
      <c r="C842" s="129"/>
      <c r="D842" s="129"/>
    </row>
    <row r="843">
      <c r="C843" s="129"/>
      <c r="D843" s="129"/>
    </row>
    <row r="844">
      <c r="C844" s="129"/>
      <c r="D844" s="129"/>
    </row>
    <row r="845">
      <c r="C845" s="129"/>
      <c r="D845" s="129"/>
    </row>
    <row r="846">
      <c r="C846" s="129"/>
      <c r="D846" s="129"/>
    </row>
    <row r="847">
      <c r="C847" s="129"/>
      <c r="D847" s="129"/>
    </row>
    <row r="848">
      <c r="C848" s="129"/>
      <c r="D848" s="129"/>
    </row>
    <row r="849">
      <c r="C849" s="129"/>
      <c r="D849" s="129"/>
    </row>
    <row r="850">
      <c r="C850" s="129"/>
      <c r="D850" s="129"/>
    </row>
    <row r="851">
      <c r="C851" s="129"/>
      <c r="D851" s="129"/>
    </row>
    <row r="852">
      <c r="C852" s="129"/>
      <c r="D852" s="129"/>
    </row>
    <row r="853">
      <c r="C853" s="129"/>
      <c r="D853" s="129"/>
    </row>
    <row r="854">
      <c r="C854" s="129"/>
      <c r="D854" s="129"/>
    </row>
    <row r="855">
      <c r="C855" s="129"/>
      <c r="D855" s="129"/>
    </row>
    <row r="856">
      <c r="C856" s="129"/>
      <c r="D856" s="129"/>
    </row>
    <row r="857">
      <c r="C857" s="129"/>
      <c r="D857" s="129"/>
    </row>
    <row r="858">
      <c r="C858" s="129"/>
      <c r="D858" s="129"/>
    </row>
    <row r="859">
      <c r="C859" s="129"/>
      <c r="D859" s="129"/>
    </row>
    <row r="860">
      <c r="C860" s="129"/>
      <c r="D860" s="129"/>
    </row>
    <row r="861">
      <c r="C861" s="129"/>
      <c r="D861" s="129"/>
    </row>
    <row r="862">
      <c r="C862" s="129"/>
      <c r="D862" s="129"/>
    </row>
    <row r="863">
      <c r="C863" s="129"/>
      <c r="D863" s="129"/>
    </row>
    <row r="864">
      <c r="C864" s="129"/>
      <c r="D864" s="129"/>
    </row>
    <row r="865">
      <c r="C865" s="129"/>
      <c r="D865" s="129"/>
    </row>
    <row r="866">
      <c r="C866" s="129"/>
      <c r="D866" s="129"/>
    </row>
    <row r="867">
      <c r="C867" s="129"/>
      <c r="D867" s="129"/>
    </row>
    <row r="868">
      <c r="C868" s="129"/>
      <c r="D868" s="129"/>
    </row>
    <row r="869">
      <c r="C869" s="129"/>
      <c r="D869" s="129"/>
    </row>
    <row r="870">
      <c r="C870" s="129"/>
      <c r="D870" s="129"/>
    </row>
    <row r="871">
      <c r="C871" s="129"/>
      <c r="D871" s="129"/>
    </row>
    <row r="872">
      <c r="C872" s="129"/>
      <c r="D872" s="129"/>
    </row>
    <row r="873">
      <c r="C873" s="129"/>
      <c r="D873" s="129"/>
    </row>
    <row r="874">
      <c r="C874" s="129"/>
      <c r="D874" s="129"/>
    </row>
    <row r="875">
      <c r="C875" s="129"/>
      <c r="D875" s="129"/>
    </row>
    <row r="876">
      <c r="C876" s="129"/>
      <c r="D876" s="129"/>
    </row>
    <row r="877">
      <c r="C877" s="129"/>
      <c r="D877" s="129"/>
    </row>
    <row r="878">
      <c r="C878" s="129"/>
      <c r="D878" s="129"/>
    </row>
    <row r="879">
      <c r="C879" s="129"/>
      <c r="D879" s="129"/>
    </row>
    <row r="880">
      <c r="C880" s="129"/>
      <c r="D880" s="129"/>
    </row>
    <row r="881">
      <c r="C881" s="129"/>
      <c r="D881" s="129"/>
    </row>
    <row r="882">
      <c r="C882" s="129"/>
      <c r="D882" s="129"/>
    </row>
    <row r="883">
      <c r="C883" s="129"/>
      <c r="D883" s="129"/>
    </row>
    <row r="884">
      <c r="C884" s="129"/>
      <c r="D884" s="129"/>
    </row>
    <row r="885">
      <c r="C885" s="129"/>
      <c r="D885" s="129"/>
    </row>
    <row r="886">
      <c r="C886" s="129"/>
      <c r="D886" s="129"/>
    </row>
    <row r="887">
      <c r="C887" s="129"/>
      <c r="D887" s="129"/>
    </row>
    <row r="888">
      <c r="C888" s="129"/>
      <c r="D888" s="129"/>
    </row>
    <row r="889">
      <c r="C889" s="129"/>
      <c r="D889" s="129"/>
    </row>
    <row r="890">
      <c r="C890" s="129"/>
      <c r="D890" s="129"/>
    </row>
    <row r="891">
      <c r="C891" s="129"/>
      <c r="D891" s="129"/>
    </row>
    <row r="892">
      <c r="C892" s="129"/>
      <c r="D892" s="129"/>
    </row>
    <row r="893">
      <c r="C893" s="129"/>
      <c r="D893" s="129"/>
    </row>
    <row r="894">
      <c r="C894" s="129"/>
      <c r="D894" s="129"/>
    </row>
    <row r="895">
      <c r="C895" s="129"/>
      <c r="D895" s="129"/>
    </row>
    <row r="896">
      <c r="C896" s="129"/>
      <c r="D896" s="129"/>
    </row>
    <row r="897">
      <c r="C897" s="129"/>
      <c r="D897" s="129"/>
    </row>
    <row r="898">
      <c r="C898" s="129"/>
      <c r="D898" s="129"/>
    </row>
    <row r="899">
      <c r="C899" s="129"/>
      <c r="D899" s="129"/>
    </row>
    <row r="900">
      <c r="C900" s="129"/>
      <c r="D900" s="129"/>
    </row>
    <row r="901">
      <c r="C901" s="129"/>
      <c r="D901" s="129"/>
    </row>
    <row r="902">
      <c r="C902" s="129"/>
      <c r="D902" s="129"/>
    </row>
    <row r="903">
      <c r="C903" s="129"/>
      <c r="D903" s="129"/>
    </row>
    <row r="904">
      <c r="C904" s="129"/>
      <c r="D904" s="129"/>
    </row>
    <row r="905">
      <c r="C905" s="129"/>
      <c r="D905" s="129"/>
    </row>
    <row r="906">
      <c r="C906" s="129"/>
      <c r="D906" s="129"/>
    </row>
    <row r="907">
      <c r="C907" s="129"/>
      <c r="D907" s="129"/>
    </row>
    <row r="908">
      <c r="C908" s="129"/>
      <c r="D908" s="129"/>
    </row>
    <row r="909">
      <c r="C909" s="129"/>
      <c r="D909" s="129"/>
    </row>
    <row r="910">
      <c r="C910" s="129"/>
      <c r="D910" s="129"/>
    </row>
    <row r="911">
      <c r="C911" s="129"/>
      <c r="D911" s="129"/>
    </row>
    <row r="912">
      <c r="C912" s="129"/>
      <c r="D912" s="129"/>
    </row>
    <row r="913">
      <c r="C913" s="129"/>
      <c r="D913" s="129"/>
    </row>
    <row r="914">
      <c r="C914" s="129"/>
      <c r="D914" s="129"/>
    </row>
    <row r="915">
      <c r="C915" s="129"/>
      <c r="D915" s="129"/>
    </row>
    <row r="916">
      <c r="C916" s="129"/>
      <c r="D916" s="129"/>
    </row>
    <row r="917">
      <c r="C917" s="129"/>
      <c r="D917" s="129"/>
    </row>
    <row r="918">
      <c r="C918" s="129"/>
      <c r="D918" s="129"/>
    </row>
    <row r="919">
      <c r="C919" s="129"/>
      <c r="D919" s="129"/>
    </row>
    <row r="920">
      <c r="C920" s="129"/>
      <c r="D920" s="129"/>
    </row>
    <row r="921">
      <c r="C921" s="129"/>
      <c r="D921" s="129"/>
    </row>
    <row r="922">
      <c r="C922" s="129"/>
      <c r="D922" s="129"/>
    </row>
    <row r="923">
      <c r="C923" s="129"/>
      <c r="D923" s="129"/>
    </row>
    <row r="924">
      <c r="C924" s="129"/>
      <c r="D924" s="129"/>
    </row>
    <row r="925">
      <c r="C925" s="129"/>
      <c r="D925" s="129"/>
    </row>
    <row r="926">
      <c r="C926" s="129"/>
      <c r="D926" s="129"/>
    </row>
    <row r="927">
      <c r="C927" s="129"/>
      <c r="D927" s="129"/>
    </row>
    <row r="928">
      <c r="C928" s="129"/>
      <c r="D928" s="129"/>
    </row>
    <row r="929">
      <c r="C929" s="129"/>
      <c r="D929" s="129"/>
    </row>
    <row r="930">
      <c r="C930" s="129"/>
      <c r="D930" s="129"/>
    </row>
    <row r="931">
      <c r="C931" s="129"/>
      <c r="D931" s="129"/>
    </row>
    <row r="932">
      <c r="C932" s="129"/>
      <c r="D932" s="129"/>
    </row>
    <row r="933">
      <c r="C933" s="129"/>
      <c r="D933" s="129"/>
    </row>
    <row r="934">
      <c r="C934" s="129"/>
      <c r="D934" s="129"/>
    </row>
    <row r="935">
      <c r="C935" s="129"/>
      <c r="D935" s="129"/>
    </row>
    <row r="936">
      <c r="C936" s="129"/>
      <c r="D936" s="129"/>
    </row>
    <row r="937">
      <c r="C937" s="129"/>
      <c r="D937" s="129"/>
    </row>
    <row r="938">
      <c r="C938" s="129"/>
      <c r="D938" s="129"/>
    </row>
    <row r="939">
      <c r="C939" s="129"/>
      <c r="D939" s="129"/>
    </row>
    <row r="940">
      <c r="C940" s="129"/>
      <c r="D940" s="129"/>
    </row>
    <row r="941">
      <c r="C941" s="129"/>
      <c r="D941" s="129"/>
    </row>
    <row r="942">
      <c r="C942" s="129"/>
      <c r="D942" s="129"/>
    </row>
    <row r="943">
      <c r="C943" s="129"/>
      <c r="D943" s="129"/>
    </row>
    <row r="944">
      <c r="C944" s="129"/>
      <c r="D944" s="129"/>
    </row>
    <row r="945">
      <c r="C945" s="129"/>
      <c r="D945" s="129"/>
    </row>
    <row r="946">
      <c r="C946" s="129"/>
      <c r="D946" s="129"/>
    </row>
    <row r="947">
      <c r="C947" s="129"/>
      <c r="D947" s="129"/>
    </row>
    <row r="948">
      <c r="C948" s="129"/>
      <c r="D948" s="129"/>
    </row>
    <row r="949">
      <c r="C949" s="129"/>
      <c r="D949" s="129"/>
    </row>
    <row r="950">
      <c r="C950" s="129"/>
      <c r="D950" s="129"/>
    </row>
    <row r="951">
      <c r="C951" s="129"/>
      <c r="D951" s="129"/>
    </row>
    <row r="952">
      <c r="C952" s="129"/>
      <c r="D952" s="129"/>
    </row>
    <row r="953">
      <c r="C953" s="129"/>
      <c r="D953" s="129"/>
    </row>
    <row r="954">
      <c r="C954" s="129"/>
      <c r="D954" s="129"/>
    </row>
    <row r="955">
      <c r="C955" s="129"/>
      <c r="D955" s="129"/>
    </row>
    <row r="956">
      <c r="C956" s="129"/>
      <c r="D956" s="129"/>
    </row>
    <row r="957">
      <c r="C957" s="129"/>
      <c r="D957" s="129"/>
    </row>
    <row r="958">
      <c r="C958" s="129"/>
      <c r="D958" s="129"/>
    </row>
    <row r="959">
      <c r="C959" s="129"/>
      <c r="D959" s="129"/>
    </row>
    <row r="960">
      <c r="C960" s="129"/>
      <c r="D960" s="129"/>
    </row>
    <row r="961">
      <c r="C961" s="129"/>
      <c r="D961" s="129"/>
    </row>
    <row r="962">
      <c r="C962" s="129"/>
      <c r="D962" s="129"/>
    </row>
    <row r="963">
      <c r="C963" s="129"/>
      <c r="D963" s="129"/>
    </row>
    <row r="964">
      <c r="C964" s="129"/>
      <c r="D964" s="129"/>
    </row>
    <row r="965">
      <c r="C965" s="129"/>
      <c r="D965" s="129"/>
    </row>
    <row r="966">
      <c r="C966" s="129"/>
      <c r="D966" s="129"/>
    </row>
    <row r="967">
      <c r="C967" s="129"/>
      <c r="D967" s="129"/>
    </row>
    <row r="968">
      <c r="C968" s="129"/>
      <c r="D968" s="129"/>
    </row>
    <row r="969">
      <c r="C969" s="129"/>
      <c r="D969" s="129"/>
    </row>
    <row r="970">
      <c r="C970" s="129"/>
      <c r="D970" s="129"/>
    </row>
    <row r="971">
      <c r="C971" s="129"/>
      <c r="D971" s="129"/>
    </row>
    <row r="972">
      <c r="C972" s="129"/>
      <c r="D972" s="129"/>
    </row>
    <row r="973">
      <c r="C973" s="129"/>
      <c r="D973" s="129"/>
    </row>
    <row r="974">
      <c r="C974" s="129"/>
      <c r="D974" s="129"/>
    </row>
    <row r="975">
      <c r="C975" s="129"/>
      <c r="D975" s="129"/>
    </row>
    <row r="976">
      <c r="C976" s="129"/>
      <c r="D976" s="129"/>
    </row>
    <row r="977">
      <c r="C977" s="129"/>
      <c r="D977" s="129"/>
    </row>
    <row r="978">
      <c r="C978" s="129"/>
      <c r="D978" s="129"/>
    </row>
    <row r="979">
      <c r="C979" s="129"/>
      <c r="D979" s="129"/>
    </row>
    <row r="980">
      <c r="C980" s="129"/>
      <c r="D980" s="129"/>
    </row>
    <row r="981">
      <c r="C981" s="129"/>
      <c r="D981" s="129"/>
    </row>
    <row r="982">
      <c r="C982" s="129"/>
      <c r="D982" s="129"/>
    </row>
    <row r="983">
      <c r="C983" s="129"/>
      <c r="D983" s="129"/>
    </row>
    <row r="984">
      <c r="C984" s="129"/>
      <c r="D984" s="129"/>
    </row>
    <row r="985">
      <c r="C985" s="129"/>
      <c r="D985" s="129"/>
    </row>
    <row r="986">
      <c r="C986" s="129"/>
      <c r="D986" s="129"/>
    </row>
    <row r="987">
      <c r="C987" s="129"/>
      <c r="D987" s="129"/>
    </row>
    <row r="988">
      <c r="C988" s="129"/>
      <c r="D988" s="129"/>
    </row>
    <row r="989">
      <c r="C989" s="129"/>
      <c r="D989" s="129"/>
    </row>
    <row r="990">
      <c r="C990" s="129"/>
      <c r="D990" s="129"/>
    </row>
    <row r="991">
      <c r="C991" s="129"/>
      <c r="D991" s="129"/>
    </row>
    <row r="992">
      <c r="C992" s="129"/>
      <c r="D992" s="129"/>
    </row>
    <row r="993">
      <c r="C993" s="129"/>
      <c r="D993" s="129"/>
    </row>
    <row r="994">
      <c r="C994" s="129"/>
      <c r="D994" s="129"/>
    </row>
    <row r="995">
      <c r="C995" s="129"/>
      <c r="D995" s="129"/>
    </row>
    <row r="996">
      <c r="C996" s="129"/>
      <c r="D996" s="129"/>
    </row>
    <row r="997">
      <c r="C997" s="129"/>
      <c r="D997" s="129"/>
    </row>
    <row r="998">
      <c r="C998" s="129"/>
      <c r="D998" s="129"/>
    </row>
    <row r="999">
      <c r="C999" s="129"/>
      <c r="D999" s="129"/>
    </row>
    <row r="1000">
      <c r="C1000" s="129"/>
      <c r="D1000" s="129"/>
    </row>
    <row r="1001">
      <c r="C1001" s="129"/>
      <c r="D1001" s="129"/>
    </row>
    <row r="1002">
      <c r="C1002" s="129"/>
      <c r="D1002" s="129"/>
    </row>
    <row r="1003">
      <c r="C1003" s="129"/>
      <c r="D1003" s="129"/>
    </row>
    <row r="1004">
      <c r="C1004" s="129"/>
      <c r="D1004" s="129"/>
    </row>
  </sheetData>
  <mergeCells count="4">
    <mergeCell ref="A1:C1"/>
    <mergeCell ref="A2:B2"/>
    <mergeCell ref="A3:B3"/>
    <mergeCell ref="A4:B4"/>
  </mergeCells>
  <conditionalFormatting sqref="A5:A35">
    <cfRule type="cellIs" dxfId="11" priority="1" operator="equal">
      <formula>"TRUE"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9.88"/>
    <col customWidth="1" min="3" max="3" width="9.13"/>
  </cols>
  <sheetData>
    <row r="1">
      <c r="A1" s="155" t="s">
        <v>136</v>
      </c>
      <c r="B1" s="148"/>
      <c r="C1" s="148"/>
    </row>
    <row r="2">
      <c r="A2" s="156">
        <f>C7+C9</f>
        <v>377</v>
      </c>
      <c r="B2" s="148"/>
      <c r="C2" s="58"/>
    </row>
    <row r="3">
      <c r="A3" s="157" t="s">
        <v>137</v>
      </c>
    </row>
    <row r="4">
      <c r="A4" s="158" t="s">
        <v>138</v>
      </c>
    </row>
    <row r="5">
      <c r="A5" s="159" t="s">
        <v>139</v>
      </c>
      <c r="B5" s="148"/>
      <c r="C5" s="160">
        <f>C13-C18-C9</f>
        <v>0</v>
      </c>
    </row>
    <row r="6">
      <c r="A6" s="159" t="s">
        <v>140</v>
      </c>
      <c r="B6" s="148"/>
      <c r="C6" s="160">
        <f>C14-C19</f>
        <v>177</v>
      </c>
    </row>
    <row r="7">
      <c r="A7" s="147" t="s">
        <v>142</v>
      </c>
      <c r="B7" s="148"/>
      <c r="C7" s="161">
        <f>C5+C6</f>
        <v>177</v>
      </c>
    </row>
    <row r="8">
      <c r="A8" s="162" t="s">
        <v>143</v>
      </c>
    </row>
    <row r="9">
      <c r="A9" s="163" t="s">
        <v>144</v>
      </c>
      <c r="B9" s="164"/>
      <c r="C9" s="165">
        <f>C101</f>
        <v>200</v>
      </c>
    </row>
    <row r="10">
      <c r="A10" s="166" t="s">
        <v>146</v>
      </c>
      <c r="B10" s="167"/>
      <c r="C10" s="26"/>
    </row>
    <row r="11">
      <c r="A11" s="126"/>
      <c r="B11" s="127"/>
      <c r="C11" s="127"/>
    </row>
    <row r="12">
      <c r="A12" s="15" t="s">
        <v>148</v>
      </c>
      <c r="B12" s="168"/>
      <c r="C12" s="16"/>
    </row>
    <row r="13">
      <c r="A13" s="169" t="s">
        <v>149</v>
      </c>
      <c r="B13" s="10"/>
      <c r="C13" s="170">
        <f>C27</f>
        <v>750</v>
      </c>
    </row>
    <row r="14">
      <c r="A14" s="169" t="s">
        <v>150</v>
      </c>
      <c r="B14" s="10"/>
      <c r="C14" s="170">
        <f>C102+C41</f>
        <v>911</v>
      </c>
    </row>
    <row r="15">
      <c r="A15" s="172" t="s">
        <v>152</v>
      </c>
      <c r="B15" s="10"/>
      <c r="C15" s="174">
        <f>C13+C14</f>
        <v>1661</v>
      </c>
    </row>
    <row r="16">
      <c r="A16" s="175" t="s">
        <v>154</v>
      </c>
      <c r="C16" s="176"/>
    </row>
    <row r="17">
      <c r="A17" s="180" t="s">
        <v>155</v>
      </c>
      <c r="C17" s="176"/>
    </row>
    <row r="18">
      <c r="A18" s="184" t="s">
        <v>159</v>
      </c>
      <c r="B18" s="10"/>
      <c r="C18" s="186">
        <f>C57</f>
        <v>550</v>
      </c>
    </row>
    <row r="19">
      <c r="A19" s="184" t="s">
        <v>163</v>
      </c>
      <c r="B19" s="10"/>
      <c r="C19" s="186">
        <f>C78</f>
        <v>734</v>
      </c>
    </row>
    <row r="20">
      <c r="A20" s="189" t="s">
        <v>165</v>
      </c>
      <c r="B20" s="10"/>
      <c r="C20" s="190">
        <f>C18+C19</f>
        <v>1284</v>
      </c>
    </row>
    <row r="21">
      <c r="A21" s="175" t="s">
        <v>168</v>
      </c>
      <c r="C21" s="176"/>
    </row>
    <row r="22">
      <c r="A22" s="191"/>
      <c r="B22" s="127"/>
      <c r="C22" s="192"/>
    </row>
    <row r="23">
      <c r="A23" s="193" t="s">
        <v>172</v>
      </c>
      <c r="B23" s="167"/>
      <c r="C23" s="195">
        <f>C15-C20</f>
        <v>377</v>
      </c>
    </row>
    <row r="25">
      <c r="A25" s="126"/>
      <c r="B25" s="127"/>
      <c r="C25" s="127"/>
    </row>
    <row r="26">
      <c r="A26" s="197" t="s">
        <v>175</v>
      </c>
      <c r="B26" s="148"/>
      <c r="C26" s="58"/>
    </row>
    <row r="27">
      <c r="A27" s="199" t="s">
        <v>176</v>
      </c>
      <c r="B27" s="200"/>
      <c r="C27" s="202">
        <f>SUM(C29:C39)</f>
        <v>750</v>
      </c>
    </row>
    <row r="28">
      <c r="A28" s="150" t="s">
        <v>92</v>
      </c>
      <c r="B28" s="4"/>
      <c r="C28" s="151" t="s">
        <v>93</v>
      </c>
    </row>
    <row r="29">
      <c r="A29" s="203" t="s">
        <v>177</v>
      </c>
      <c r="B29" s="4"/>
      <c r="C29" s="153">
        <v>550.0</v>
      </c>
    </row>
    <row r="30">
      <c r="A30" s="203" t="s">
        <v>178</v>
      </c>
      <c r="B30" s="4"/>
      <c r="C30" s="153">
        <v>50.0</v>
      </c>
    </row>
    <row r="31">
      <c r="A31" s="203" t="s">
        <v>179</v>
      </c>
      <c r="B31" s="4"/>
      <c r="C31" s="153">
        <v>100.0</v>
      </c>
    </row>
    <row r="32">
      <c r="A32" s="203" t="s">
        <v>180</v>
      </c>
      <c r="B32" s="4"/>
      <c r="C32" s="153">
        <v>50.0</v>
      </c>
    </row>
    <row r="33">
      <c r="A33" s="203"/>
      <c r="B33" s="4"/>
      <c r="C33" s="153"/>
    </row>
    <row r="34">
      <c r="A34" s="203"/>
      <c r="B34" s="4"/>
      <c r="C34" s="153"/>
    </row>
    <row r="35">
      <c r="A35" s="203"/>
      <c r="B35" s="4"/>
      <c r="C35" s="153"/>
    </row>
    <row r="36">
      <c r="A36" s="203"/>
      <c r="B36" s="4"/>
      <c r="C36" s="153"/>
    </row>
    <row r="37">
      <c r="A37" s="203"/>
      <c r="B37" s="4"/>
      <c r="C37" s="153"/>
    </row>
    <row r="38">
      <c r="A38" s="203"/>
      <c r="B38" s="4"/>
      <c r="C38" s="153"/>
    </row>
    <row r="39">
      <c r="A39" s="203"/>
      <c r="B39" s="4"/>
      <c r="C39" s="153"/>
    </row>
    <row r="40">
      <c r="A40" s="126"/>
      <c r="B40" s="127"/>
      <c r="C40" s="127"/>
    </row>
    <row r="41">
      <c r="A41" s="204" t="s">
        <v>181</v>
      </c>
      <c r="B41" s="10"/>
      <c r="C41" s="205">
        <f>SUM(C43:C53)</f>
        <v>0</v>
      </c>
    </row>
    <row r="42">
      <c r="A42" s="150" t="s">
        <v>92</v>
      </c>
      <c r="B42" s="4"/>
      <c r="C42" s="151" t="s">
        <v>93</v>
      </c>
    </row>
    <row r="43">
      <c r="A43" s="203"/>
      <c r="B43" s="4"/>
      <c r="C43" s="153"/>
    </row>
    <row r="44">
      <c r="A44" s="203"/>
      <c r="B44" s="4"/>
      <c r="C44" s="153"/>
    </row>
    <row r="45">
      <c r="A45" s="203"/>
      <c r="B45" s="4"/>
      <c r="C45" s="153"/>
    </row>
    <row r="46">
      <c r="A46" s="203"/>
      <c r="B46" s="4"/>
      <c r="C46" s="153"/>
    </row>
    <row r="47">
      <c r="A47" s="203"/>
      <c r="B47" s="4"/>
      <c r="C47" s="153"/>
    </row>
    <row r="48">
      <c r="A48" s="203"/>
      <c r="B48" s="4"/>
      <c r="C48" s="153"/>
    </row>
    <row r="49">
      <c r="A49" s="203"/>
      <c r="B49" s="4"/>
      <c r="C49" s="153"/>
    </row>
    <row r="50">
      <c r="A50" s="203"/>
      <c r="B50" s="4"/>
      <c r="C50" s="153"/>
    </row>
    <row r="51">
      <c r="A51" s="203"/>
      <c r="B51" s="4"/>
      <c r="C51" s="153"/>
    </row>
    <row r="52">
      <c r="A52" s="203"/>
      <c r="B52" s="4"/>
      <c r="C52" s="153"/>
    </row>
    <row r="53">
      <c r="A53" s="203"/>
      <c r="B53" s="4"/>
      <c r="C53" s="153"/>
    </row>
    <row r="54">
      <c r="B54" s="129"/>
      <c r="C54" s="129"/>
    </row>
    <row r="55">
      <c r="B55" s="129"/>
      <c r="C55" s="129"/>
    </row>
    <row r="56">
      <c r="A56" s="206" t="s">
        <v>182</v>
      </c>
      <c r="B56" s="148"/>
      <c r="C56" s="58"/>
    </row>
    <row r="57">
      <c r="A57" s="207" t="s">
        <v>159</v>
      </c>
      <c r="B57" s="10"/>
      <c r="C57" s="208">
        <f>SUM(C59:C76)</f>
        <v>550</v>
      </c>
    </row>
    <row r="58">
      <c r="A58" s="209" t="s">
        <v>184</v>
      </c>
      <c r="B58" s="210" t="s">
        <v>185</v>
      </c>
      <c r="C58" s="211" t="s">
        <v>186</v>
      </c>
    </row>
    <row r="59">
      <c r="A59" s="115" t="s">
        <v>174</v>
      </c>
      <c r="B59" s="212"/>
      <c r="C59" s="153">
        <v>100.0</v>
      </c>
    </row>
    <row r="60">
      <c r="A60" s="115" t="s">
        <v>174</v>
      </c>
      <c r="B60" s="212"/>
      <c r="C60" s="153">
        <v>150.0</v>
      </c>
    </row>
    <row r="61">
      <c r="A61" s="115" t="s">
        <v>174</v>
      </c>
      <c r="B61" s="212"/>
      <c r="C61" s="153">
        <v>120.0</v>
      </c>
    </row>
    <row r="62">
      <c r="A62" s="115" t="s">
        <v>174</v>
      </c>
      <c r="B62" s="212"/>
      <c r="C62" s="153">
        <v>180.0</v>
      </c>
    </row>
    <row r="63">
      <c r="A63" s="115"/>
      <c r="B63" s="24"/>
      <c r="C63" s="153"/>
    </row>
    <row r="64">
      <c r="A64" s="37"/>
      <c r="B64" s="24"/>
      <c r="C64" s="198"/>
    </row>
    <row r="65">
      <c r="A65" s="37"/>
      <c r="B65" s="24"/>
      <c r="C65" s="198"/>
    </row>
    <row r="66">
      <c r="A66" s="37"/>
      <c r="B66" s="24"/>
      <c r="C66" s="198"/>
    </row>
    <row r="67">
      <c r="A67" s="115"/>
      <c r="B67" s="24"/>
      <c r="C67" s="198"/>
    </row>
    <row r="68">
      <c r="A68" s="115"/>
      <c r="B68" s="24"/>
      <c r="C68" s="198"/>
    </row>
    <row r="69">
      <c r="A69" s="37"/>
      <c r="B69" s="24"/>
      <c r="C69" s="198"/>
    </row>
    <row r="70">
      <c r="A70" s="37"/>
      <c r="B70" s="24"/>
      <c r="C70" s="198"/>
    </row>
    <row r="71">
      <c r="A71" s="37"/>
      <c r="B71" s="24"/>
      <c r="C71" s="198"/>
    </row>
    <row r="72">
      <c r="A72" s="37"/>
      <c r="B72" s="24"/>
      <c r="C72" s="198"/>
    </row>
    <row r="73">
      <c r="A73" s="37"/>
      <c r="B73" s="24"/>
      <c r="C73" s="198"/>
    </row>
    <row r="74">
      <c r="A74" s="37"/>
      <c r="B74" s="24"/>
      <c r="C74" s="198"/>
    </row>
    <row r="75">
      <c r="A75" s="37"/>
      <c r="B75" s="24"/>
      <c r="C75" s="198"/>
    </row>
    <row r="76">
      <c r="A76" s="37"/>
      <c r="B76" s="24"/>
      <c r="C76" s="198"/>
    </row>
    <row r="77">
      <c r="B77" s="129"/>
      <c r="C77" s="129"/>
    </row>
    <row r="78">
      <c r="A78" s="207" t="s">
        <v>194</v>
      </c>
      <c r="B78" s="10"/>
      <c r="C78" s="208">
        <f>SUM(C80:C97)</f>
        <v>734</v>
      </c>
    </row>
    <row r="79">
      <c r="A79" s="209" t="s">
        <v>195</v>
      </c>
      <c r="B79" s="210" t="s">
        <v>185</v>
      </c>
      <c r="C79" s="211" t="s">
        <v>186</v>
      </c>
    </row>
    <row r="80">
      <c r="A80" s="115" t="s">
        <v>134</v>
      </c>
      <c r="B80" s="212"/>
      <c r="C80" s="183">
        <f>384-18.3</f>
        <v>365.7</v>
      </c>
    </row>
    <row r="81">
      <c r="A81" s="115" t="s">
        <v>196</v>
      </c>
      <c r="B81" s="212"/>
      <c r="C81" s="153">
        <v>3.3</v>
      </c>
    </row>
    <row r="82">
      <c r="A82" s="115" t="s">
        <v>196</v>
      </c>
      <c r="B82" s="212"/>
      <c r="C82" s="153">
        <v>112.0</v>
      </c>
    </row>
    <row r="83">
      <c r="A83" s="115" t="s">
        <v>196</v>
      </c>
      <c r="B83" s="212"/>
      <c r="C83" s="153">
        <f>15</f>
        <v>15</v>
      </c>
    </row>
    <row r="84">
      <c r="A84" s="115" t="s">
        <v>196</v>
      </c>
      <c r="B84" s="24"/>
      <c r="C84" s="153">
        <v>238.0</v>
      </c>
    </row>
    <row r="85">
      <c r="A85" s="37"/>
      <c r="B85" s="24"/>
      <c r="C85" s="198"/>
    </row>
    <row r="86">
      <c r="A86" s="37"/>
      <c r="B86" s="24"/>
      <c r="C86" s="198"/>
    </row>
    <row r="87">
      <c r="A87" s="37"/>
      <c r="B87" s="24"/>
      <c r="C87" s="198"/>
    </row>
    <row r="88">
      <c r="A88" s="115"/>
      <c r="B88" s="24"/>
      <c r="C88" s="198"/>
    </row>
    <row r="89">
      <c r="A89" s="115"/>
      <c r="B89" s="24"/>
      <c r="C89" s="198"/>
    </row>
    <row r="90">
      <c r="A90" s="37"/>
      <c r="B90" s="24"/>
      <c r="C90" s="198"/>
    </row>
    <row r="91">
      <c r="A91" s="37"/>
      <c r="B91" s="24"/>
      <c r="C91" s="198"/>
    </row>
    <row r="92">
      <c r="A92" s="37"/>
      <c r="B92" s="24"/>
      <c r="C92" s="198"/>
    </row>
    <row r="93">
      <c r="A93" s="37"/>
      <c r="B93" s="24"/>
      <c r="C93" s="198"/>
    </row>
    <row r="94">
      <c r="A94" s="37"/>
      <c r="B94" s="24"/>
      <c r="C94" s="198"/>
    </row>
    <row r="95">
      <c r="A95" s="37"/>
      <c r="B95" s="24"/>
      <c r="C95" s="198"/>
    </row>
    <row r="96">
      <c r="A96" s="37"/>
      <c r="B96" s="24"/>
      <c r="C96" s="198"/>
    </row>
    <row r="97">
      <c r="A97" s="37"/>
      <c r="B97" s="24"/>
      <c r="C97" s="198"/>
    </row>
    <row r="98">
      <c r="B98" s="129"/>
      <c r="C98" s="129"/>
    </row>
    <row r="99">
      <c r="B99" s="129"/>
      <c r="C99" s="129"/>
    </row>
    <row r="100">
      <c r="A100" s="171" t="s">
        <v>197</v>
      </c>
      <c r="B100" s="148"/>
      <c r="C100" s="58"/>
    </row>
    <row r="101">
      <c r="A101" s="173" t="s">
        <v>198</v>
      </c>
      <c r="B101" s="10"/>
      <c r="C101" s="177">
        <f>B102-C102</f>
        <v>200</v>
      </c>
    </row>
    <row r="102">
      <c r="A102" s="178" t="s">
        <v>156</v>
      </c>
      <c r="B102" s="179">
        <f t="shared" ref="B102:C102" si="1">SUM(B104:B980)</f>
        <v>1111</v>
      </c>
      <c r="C102" s="179">
        <f t="shared" si="1"/>
        <v>911</v>
      </c>
    </row>
    <row r="103">
      <c r="A103" s="3" t="s">
        <v>157</v>
      </c>
      <c r="B103" s="181" t="s">
        <v>199</v>
      </c>
      <c r="C103" s="181" t="s">
        <v>200</v>
      </c>
    </row>
    <row r="104">
      <c r="A104" s="182" t="s">
        <v>201</v>
      </c>
      <c r="B104" s="185">
        <v>284.0</v>
      </c>
      <c r="C104" s="183"/>
    </row>
    <row r="105">
      <c r="A105" s="187" t="s">
        <v>202</v>
      </c>
      <c r="B105" s="188">
        <v>100.0</v>
      </c>
      <c r="C105" s="153"/>
    </row>
    <row r="106">
      <c r="A106" s="187" t="s">
        <v>203</v>
      </c>
      <c r="B106" s="188"/>
      <c r="C106" s="153">
        <v>100.0</v>
      </c>
    </row>
    <row r="107">
      <c r="A107" s="187" t="s">
        <v>204</v>
      </c>
      <c r="B107" s="188"/>
      <c r="C107" s="153">
        <v>100.0</v>
      </c>
    </row>
    <row r="108">
      <c r="A108" s="187" t="s">
        <v>205</v>
      </c>
      <c r="B108" s="188"/>
      <c r="C108" s="153">
        <v>100.0</v>
      </c>
    </row>
    <row r="109">
      <c r="A109" s="187" t="s">
        <v>206</v>
      </c>
      <c r="B109" s="188"/>
      <c r="C109" s="153">
        <v>84.0</v>
      </c>
    </row>
    <row r="110">
      <c r="A110" s="187" t="s">
        <v>207</v>
      </c>
      <c r="B110" s="185">
        <v>50.0</v>
      </c>
      <c r="C110" s="37"/>
    </row>
    <row r="111">
      <c r="A111" s="187" t="s">
        <v>208</v>
      </c>
      <c r="B111" s="188">
        <v>50.0</v>
      </c>
      <c r="C111" s="37"/>
    </row>
    <row r="112">
      <c r="A112" s="187" t="s">
        <v>209</v>
      </c>
      <c r="B112" s="188">
        <v>50.0</v>
      </c>
      <c r="C112" s="37"/>
    </row>
    <row r="113">
      <c r="A113" s="187" t="s">
        <v>210</v>
      </c>
      <c r="B113" s="188">
        <v>50.0</v>
      </c>
      <c r="C113" s="37"/>
    </row>
    <row r="114">
      <c r="A114" s="187" t="s">
        <v>211</v>
      </c>
      <c r="B114" s="188">
        <v>100.0</v>
      </c>
      <c r="C114" s="153"/>
    </row>
    <row r="115">
      <c r="A115" s="187" t="s">
        <v>212</v>
      </c>
      <c r="B115" s="188">
        <v>100.0</v>
      </c>
      <c r="C115" s="198"/>
    </row>
    <row r="116">
      <c r="A116" s="187" t="s">
        <v>213</v>
      </c>
      <c r="B116" s="188">
        <v>50.0</v>
      </c>
      <c r="C116" s="198"/>
    </row>
    <row r="117">
      <c r="A117" s="187" t="s">
        <v>214</v>
      </c>
      <c r="B117" s="194"/>
      <c r="C117" s="153">
        <v>150.0</v>
      </c>
    </row>
    <row r="118">
      <c r="A118" s="187" t="s">
        <v>215</v>
      </c>
      <c r="B118" s="194"/>
      <c r="C118" s="153">
        <v>120.0</v>
      </c>
    </row>
    <row r="119">
      <c r="A119" s="187" t="s">
        <v>216</v>
      </c>
      <c r="B119" s="194"/>
      <c r="C119" s="153">
        <v>180.0</v>
      </c>
    </row>
    <row r="120">
      <c r="A120" s="187" t="s">
        <v>217</v>
      </c>
      <c r="B120" s="188">
        <v>277.0</v>
      </c>
      <c r="C120" s="198"/>
    </row>
    <row r="121">
      <c r="A121" s="187" t="s">
        <v>218</v>
      </c>
      <c r="B121" s="194"/>
      <c r="C121" s="153">
        <v>77.0</v>
      </c>
    </row>
    <row r="122">
      <c r="A122" s="196"/>
      <c r="B122" s="214"/>
      <c r="C122" s="198"/>
    </row>
    <row r="123">
      <c r="A123" s="196"/>
      <c r="B123" s="214"/>
      <c r="C123" s="198"/>
    </row>
    <row r="124">
      <c r="A124" s="187"/>
      <c r="B124" s="185"/>
      <c r="C124" s="183"/>
    </row>
    <row r="125">
      <c r="A125" s="187"/>
      <c r="B125" s="188"/>
      <c r="C125" s="153"/>
    </row>
    <row r="126">
      <c r="A126" s="196"/>
      <c r="B126" s="214"/>
      <c r="C126" s="198"/>
    </row>
    <row r="127">
      <c r="A127" s="196"/>
      <c r="B127" s="214"/>
      <c r="C127" s="198"/>
    </row>
    <row r="128">
      <c r="A128" s="37"/>
      <c r="B128" s="194"/>
      <c r="C128" s="198"/>
    </row>
    <row r="129">
      <c r="A129" s="37"/>
      <c r="B129" s="194"/>
      <c r="C129" s="198"/>
    </row>
    <row r="130">
      <c r="A130" s="37"/>
      <c r="B130" s="194"/>
      <c r="C130" s="198"/>
    </row>
    <row r="131">
      <c r="A131" s="37"/>
      <c r="B131" s="194"/>
      <c r="C131" s="198"/>
    </row>
    <row r="132">
      <c r="A132" s="37"/>
      <c r="B132" s="194"/>
      <c r="C132" s="198"/>
    </row>
    <row r="133">
      <c r="A133" s="37"/>
      <c r="B133" s="194"/>
      <c r="C133" s="198"/>
    </row>
    <row r="134">
      <c r="A134" s="37"/>
      <c r="B134" s="194"/>
      <c r="C134" s="198"/>
    </row>
    <row r="135">
      <c r="A135" s="37"/>
      <c r="B135" s="194"/>
      <c r="C135" s="198"/>
    </row>
    <row r="136">
      <c r="A136" s="37"/>
      <c r="B136" s="194"/>
      <c r="C136" s="198"/>
    </row>
    <row r="137">
      <c r="A137" s="37"/>
      <c r="B137" s="194"/>
      <c r="C137" s="198"/>
    </row>
    <row r="138">
      <c r="A138" s="37"/>
      <c r="B138" s="194"/>
      <c r="C138" s="198"/>
    </row>
    <row r="139">
      <c r="A139" s="37"/>
      <c r="B139" s="194"/>
      <c r="C139" s="198"/>
    </row>
    <row r="140">
      <c r="A140" s="37"/>
      <c r="B140" s="194"/>
      <c r="C140" s="198"/>
    </row>
    <row r="141">
      <c r="A141" s="37"/>
      <c r="B141" s="194"/>
      <c r="C141" s="198"/>
    </row>
    <row r="142">
      <c r="A142" s="37"/>
      <c r="B142" s="194"/>
      <c r="C142" s="198"/>
    </row>
    <row r="143">
      <c r="A143" s="37"/>
      <c r="B143" s="194"/>
      <c r="C143" s="198"/>
    </row>
    <row r="144">
      <c r="A144" s="37"/>
      <c r="B144" s="194"/>
      <c r="C144" s="198"/>
    </row>
    <row r="145">
      <c r="A145" s="37"/>
      <c r="B145" s="194"/>
      <c r="C145" s="198"/>
    </row>
    <row r="146">
      <c r="A146" s="37"/>
      <c r="B146" s="194"/>
      <c r="C146" s="198"/>
    </row>
    <row r="147">
      <c r="A147" s="37"/>
      <c r="B147" s="194"/>
      <c r="C147" s="198"/>
    </row>
    <row r="148">
      <c r="A148" s="37"/>
      <c r="B148" s="194"/>
      <c r="C148" s="198"/>
    </row>
    <row r="149">
      <c r="A149" s="37"/>
      <c r="B149" s="194"/>
      <c r="C149" s="198"/>
    </row>
    <row r="150">
      <c r="A150" s="37"/>
      <c r="B150" s="194"/>
      <c r="C150" s="198"/>
    </row>
    <row r="151">
      <c r="A151" s="37"/>
      <c r="B151" s="194"/>
      <c r="C151" s="198"/>
    </row>
    <row r="152">
      <c r="A152" s="37"/>
      <c r="B152" s="194"/>
      <c r="C152" s="198"/>
    </row>
    <row r="153">
      <c r="A153" s="37"/>
      <c r="B153" s="194"/>
      <c r="C153" s="198"/>
    </row>
    <row r="154">
      <c r="A154" s="37"/>
      <c r="B154" s="194"/>
      <c r="C154" s="198"/>
    </row>
    <row r="155">
      <c r="A155" s="37"/>
      <c r="B155" s="194"/>
      <c r="C155" s="198"/>
    </row>
    <row r="156">
      <c r="A156" s="37"/>
      <c r="B156" s="194"/>
      <c r="C156" s="198"/>
    </row>
    <row r="157">
      <c r="A157" s="37"/>
      <c r="B157" s="194"/>
      <c r="C157" s="198"/>
    </row>
    <row r="158">
      <c r="A158" s="37"/>
      <c r="B158" s="194"/>
      <c r="C158" s="198"/>
    </row>
    <row r="159">
      <c r="A159" s="37"/>
      <c r="B159" s="194"/>
      <c r="C159" s="198"/>
    </row>
    <row r="160">
      <c r="A160" s="37"/>
      <c r="B160" s="194"/>
      <c r="C160" s="198"/>
    </row>
    <row r="161">
      <c r="A161" s="37"/>
      <c r="B161" s="194"/>
      <c r="C161" s="198"/>
    </row>
    <row r="162">
      <c r="A162" s="37"/>
      <c r="B162" s="194"/>
      <c r="C162" s="198"/>
    </row>
    <row r="163">
      <c r="A163" s="37"/>
      <c r="B163" s="194"/>
      <c r="C163" s="198"/>
    </row>
    <row r="164">
      <c r="A164" s="37"/>
      <c r="B164" s="194"/>
      <c r="C164" s="198"/>
    </row>
    <row r="165">
      <c r="A165" s="37"/>
      <c r="B165" s="194"/>
      <c r="C165" s="198"/>
    </row>
    <row r="166">
      <c r="A166" s="37"/>
      <c r="B166" s="194"/>
      <c r="C166" s="198"/>
    </row>
    <row r="167">
      <c r="A167" s="37"/>
      <c r="B167" s="194"/>
      <c r="C167" s="198"/>
    </row>
    <row r="168">
      <c r="A168" s="37"/>
      <c r="B168" s="194"/>
      <c r="C168" s="198"/>
    </row>
    <row r="169">
      <c r="A169" s="37"/>
      <c r="B169" s="194"/>
      <c r="C169" s="198"/>
    </row>
    <row r="170">
      <c r="A170" s="37"/>
      <c r="B170" s="194"/>
      <c r="C170" s="198"/>
    </row>
    <row r="171">
      <c r="A171" s="37"/>
      <c r="B171" s="194"/>
      <c r="C171" s="198"/>
    </row>
    <row r="172">
      <c r="A172" s="37"/>
      <c r="B172" s="194"/>
      <c r="C172" s="198"/>
    </row>
    <row r="173">
      <c r="A173" s="37"/>
      <c r="B173" s="194"/>
      <c r="C173" s="198"/>
    </row>
    <row r="174">
      <c r="A174" s="37"/>
      <c r="B174" s="194"/>
      <c r="C174" s="198"/>
    </row>
    <row r="175">
      <c r="A175" s="37"/>
      <c r="B175" s="194"/>
      <c r="C175" s="198"/>
    </row>
    <row r="176">
      <c r="A176" s="37"/>
      <c r="B176" s="194"/>
      <c r="C176" s="198"/>
    </row>
    <row r="177">
      <c r="A177" s="37"/>
      <c r="B177" s="194"/>
      <c r="C177" s="198"/>
    </row>
    <row r="178">
      <c r="A178" s="37"/>
      <c r="B178" s="194"/>
      <c r="C178" s="198"/>
    </row>
    <row r="179">
      <c r="A179" s="37"/>
      <c r="B179" s="194"/>
      <c r="C179" s="198"/>
    </row>
    <row r="180">
      <c r="A180" s="37"/>
      <c r="B180" s="194"/>
      <c r="C180" s="198"/>
    </row>
    <row r="181">
      <c r="A181" s="37"/>
      <c r="B181" s="194"/>
      <c r="C181" s="198"/>
    </row>
    <row r="182">
      <c r="A182" s="37"/>
      <c r="B182" s="194"/>
      <c r="C182" s="198"/>
    </row>
    <row r="183">
      <c r="A183" s="37"/>
      <c r="B183" s="194"/>
      <c r="C183" s="198"/>
    </row>
    <row r="184">
      <c r="A184" s="37"/>
      <c r="B184" s="194"/>
      <c r="C184" s="198"/>
    </row>
    <row r="185">
      <c r="A185" s="37"/>
      <c r="B185" s="194"/>
      <c r="C185" s="198"/>
    </row>
    <row r="186">
      <c r="A186" s="37"/>
      <c r="B186" s="194"/>
      <c r="C186" s="198"/>
    </row>
    <row r="187">
      <c r="A187" s="37"/>
      <c r="B187" s="194"/>
      <c r="C187" s="198"/>
    </row>
    <row r="188">
      <c r="A188" s="37"/>
      <c r="B188" s="194"/>
      <c r="C188" s="198"/>
    </row>
    <row r="189">
      <c r="A189" s="37"/>
      <c r="B189" s="194"/>
      <c r="C189" s="198"/>
    </row>
    <row r="190">
      <c r="A190" s="37"/>
      <c r="B190" s="194"/>
      <c r="C190" s="198"/>
    </row>
    <row r="191">
      <c r="A191" s="37"/>
      <c r="B191" s="194"/>
      <c r="C191" s="198"/>
    </row>
    <row r="192">
      <c r="A192" s="37"/>
      <c r="B192" s="194"/>
      <c r="C192" s="198"/>
    </row>
    <row r="193">
      <c r="A193" s="37"/>
      <c r="B193" s="194"/>
      <c r="C193" s="198"/>
    </row>
    <row r="194">
      <c r="A194" s="37"/>
      <c r="B194" s="194"/>
      <c r="C194" s="198"/>
    </row>
    <row r="195">
      <c r="A195" s="37"/>
      <c r="B195" s="194"/>
      <c r="C195" s="198"/>
    </row>
    <row r="196">
      <c r="A196" s="37"/>
      <c r="B196" s="194"/>
      <c r="C196" s="198"/>
    </row>
    <row r="197">
      <c r="A197" s="37"/>
      <c r="B197" s="194"/>
      <c r="C197" s="198"/>
    </row>
    <row r="198">
      <c r="A198" s="37"/>
      <c r="B198" s="194"/>
      <c r="C198" s="198"/>
    </row>
    <row r="199">
      <c r="A199" s="37"/>
      <c r="B199" s="194"/>
      <c r="C199" s="198"/>
    </row>
    <row r="200">
      <c r="A200" s="37"/>
      <c r="B200" s="194"/>
      <c r="C200" s="198"/>
    </row>
    <row r="201">
      <c r="A201" s="37"/>
      <c r="B201" s="194"/>
      <c r="C201" s="198"/>
    </row>
    <row r="202">
      <c r="A202" s="37"/>
      <c r="B202" s="194"/>
      <c r="C202" s="198"/>
    </row>
    <row r="203">
      <c r="A203" s="37"/>
      <c r="B203" s="194"/>
      <c r="C203" s="198"/>
    </row>
    <row r="204">
      <c r="A204" s="37"/>
      <c r="B204" s="194"/>
      <c r="C204" s="198"/>
    </row>
    <row r="205">
      <c r="A205" s="37"/>
      <c r="B205" s="194"/>
      <c r="C205" s="198"/>
    </row>
    <row r="206">
      <c r="A206" s="37"/>
      <c r="B206" s="194"/>
      <c r="C206" s="198"/>
    </row>
    <row r="207">
      <c r="A207" s="37"/>
      <c r="B207" s="194"/>
      <c r="C207" s="198"/>
    </row>
    <row r="208">
      <c r="A208" s="37"/>
      <c r="B208" s="194"/>
      <c r="C208" s="198"/>
    </row>
    <row r="209">
      <c r="A209" s="37"/>
      <c r="B209" s="194"/>
      <c r="C209" s="198"/>
    </row>
    <row r="210">
      <c r="A210" s="37"/>
      <c r="B210" s="194"/>
      <c r="C210" s="198"/>
    </row>
    <row r="211">
      <c r="A211" s="37"/>
      <c r="B211" s="194"/>
      <c r="C211" s="198"/>
    </row>
    <row r="212">
      <c r="A212" s="37"/>
      <c r="B212" s="194"/>
      <c r="C212" s="198"/>
    </row>
    <row r="213">
      <c r="A213" s="37"/>
      <c r="B213" s="194"/>
      <c r="C213" s="198"/>
    </row>
    <row r="214">
      <c r="A214" s="37"/>
      <c r="B214" s="194"/>
      <c r="C214" s="198"/>
    </row>
    <row r="215">
      <c r="A215" s="37"/>
      <c r="B215" s="194"/>
      <c r="C215" s="198"/>
    </row>
    <row r="216">
      <c r="A216" s="37"/>
      <c r="B216" s="194"/>
      <c r="C216" s="198"/>
    </row>
    <row r="217">
      <c r="A217" s="37"/>
      <c r="B217" s="194"/>
      <c r="C217" s="198"/>
    </row>
    <row r="218">
      <c r="A218" s="37"/>
      <c r="B218" s="194"/>
      <c r="C218" s="198"/>
    </row>
    <row r="219">
      <c r="A219" s="37"/>
      <c r="B219" s="194"/>
      <c r="C219" s="198"/>
    </row>
    <row r="220">
      <c r="A220" s="37"/>
      <c r="B220" s="194"/>
      <c r="C220" s="198"/>
    </row>
    <row r="221">
      <c r="A221" s="37"/>
      <c r="B221" s="194"/>
      <c r="C221" s="198"/>
    </row>
    <row r="222">
      <c r="A222" s="37"/>
      <c r="B222" s="194"/>
      <c r="C222" s="198"/>
    </row>
    <row r="223">
      <c r="A223" s="37"/>
      <c r="B223" s="194"/>
      <c r="C223" s="198"/>
    </row>
    <row r="224">
      <c r="A224" s="37"/>
      <c r="B224" s="194"/>
      <c r="C224" s="198"/>
    </row>
    <row r="225">
      <c r="A225" s="37"/>
      <c r="B225" s="194"/>
      <c r="C225" s="198"/>
    </row>
    <row r="226">
      <c r="A226" s="37"/>
      <c r="B226" s="194"/>
      <c r="C226" s="198"/>
    </row>
    <row r="227">
      <c r="A227" s="37"/>
      <c r="B227" s="194"/>
      <c r="C227" s="198"/>
    </row>
    <row r="228">
      <c r="A228" s="37"/>
      <c r="B228" s="194"/>
      <c r="C228" s="198"/>
    </row>
    <row r="229">
      <c r="A229" s="37"/>
      <c r="B229" s="194"/>
      <c r="C229" s="198"/>
    </row>
    <row r="230">
      <c r="A230" s="37"/>
      <c r="B230" s="194"/>
      <c r="C230" s="198"/>
    </row>
    <row r="231">
      <c r="A231" s="37"/>
      <c r="B231" s="194"/>
      <c r="C231" s="198"/>
    </row>
    <row r="232">
      <c r="A232" s="37"/>
      <c r="B232" s="194"/>
      <c r="C232" s="198"/>
    </row>
    <row r="233">
      <c r="A233" s="37"/>
      <c r="B233" s="194"/>
      <c r="C233" s="198"/>
    </row>
    <row r="234">
      <c r="A234" s="37"/>
      <c r="B234" s="194"/>
      <c r="C234" s="198"/>
    </row>
    <row r="235">
      <c r="A235" s="37"/>
      <c r="B235" s="194"/>
      <c r="C235" s="198"/>
    </row>
    <row r="236">
      <c r="A236" s="37"/>
      <c r="B236" s="194"/>
      <c r="C236" s="198"/>
    </row>
    <row r="237">
      <c r="A237" s="37"/>
      <c r="B237" s="194"/>
      <c r="C237" s="198"/>
    </row>
    <row r="238">
      <c r="A238" s="37"/>
      <c r="B238" s="194"/>
      <c r="C238" s="198"/>
    </row>
    <row r="239">
      <c r="A239" s="37"/>
      <c r="B239" s="194"/>
      <c r="C239" s="198"/>
    </row>
    <row r="240">
      <c r="A240" s="37"/>
      <c r="B240" s="194"/>
      <c r="C240" s="198"/>
    </row>
    <row r="241">
      <c r="A241" s="37"/>
      <c r="B241" s="194"/>
      <c r="C241" s="198"/>
    </row>
    <row r="242">
      <c r="A242" s="37"/>
      <c r="B242" s="194"/>
      <c r="C242" s="198"/>
    </row>
    <row r="243">
      <c r="A243" s="37"/>
      <c r="B243" s="194"/>
      <c r="C243" s="198"/>
    </row>
    <row r="244">
      <c r="A244" s="37"/>
      <c r="B244" s="194"/>
      <c r="C244" s="198"/>
    </row>
    <row r="245">
      <c r="A245" s="37"/>
      <c r="B245" s="194"/>
      <c r="C245" s="198"/>
    </row>
    <row r="246">
      <c r="A246" s="37"/>
      <c r="B246" s="194"/>
      <c r="C246" s="198"/>
    </row>
    <row r="247">
      <c r="A247" s="37"/>
      <c r="B247" s="194"/>
      <c r="C247" s="198"/>
    </row>
    <row r="248">
      <c r="A248" s="37"/>
      <c r="B248" s="194"/>
      <c r="C248" s="198"/>
    </row>
    <row r="249">
      <c r="A249" s="37"/>
      <c r="B249" s="194"/>
      <c r="C249" s="198"/>
    </row>
    <row r="250">
      <c r="A250" s="37"/>
      <c r="B250" s="194"/>
      <c r="C250" s="198"/>
    </row>
    <row r="251">
      <c r="A251" s="37"/>
      <c r="B251" s="194"/>
      <c r="C251" s="198"/>
    </row>
    <row r="252">
      <c r="A252" s="37"/>
      <c r="B252" s="194"/>
      <c r="C252" s="198"/>
    </row>
    <row r="253">
      <c r="A253" s="37"/>
      <c r="B253" s="194"/>
      <c r="C253" s="198"/>
    </row>
    <row r="254">
      <c r="A254" s="37"/>
      <c r="B254" s="194"/>
      <c r="C254" s="198"/>
    </row>
    <row r="255">
      <c r="A255" s="37"/>
      <c r="B255" s="194"/>
      <c r="C255" s="198"/>
    </row>
    <row r="256">
      <c r="A256" s="37"/>
      <c r="B256" s="194"/>
      <c r="C256" s="198"/>
    </row>
    <row r="257">
      <c r="A257" s="37"/>
      <c r="B257" s="194"/>
      <c r="C257" s="198"/>
    </row>
    <row r="258">
      <c r="A258" s="37"/>
      <c r="B258" s="194"/>
      <c r="C258" s="198"/>
    </row>
    <row r="259">
      <c r="A259" s="37"/>
      <c r="B259" s="194"/>
      <c r="C259" s="198"/>
    </row>
    <row r="260">
      <c r="A260" s="37"/>
      <c r="B260" s="194"/>
      <c r="C260" s="198"/>
    </row>
    <row r="261">
      <c r="A261" s="37"/>
      <c r="B261" s="194"/>
      <c r="C261" s="198"/>
    </row>
    <row r="262">
      <c r="A262" s="37"/>
      <c r="B262" s="194"/>
      <c r="C262" s="198"/>
    </row>
    <row r="263">
      <c r="A263" s="37"/>
      <c r="B263" s="194"/>
      <c r="C263" s="198"/>
    </row>
    <row r="264">
      <c r="A264" s="37"/>
      <c r="B264" s="194"/>
      <c r="C264" s="198"/>
    </row>
    <row r="265">
      <c r="A265" s="37"/>
      <c r="B265" s="194"/>
      <c r="C265" s="198"/>
    </row>
    <row r="266">
      <c r="A266" s="37"/>
      <c r="B266" s="194"/>
      <c r="C266" s="198"/>
    </row>
    <row r="267">
      <c r="A267" s="37"/>
      <c r="B267" s="194"/>
      <c r="C267" s="198"/>
    </row>
    <row r="268">
      <c r="A268" s="37"/>
      <c r="B268" s="194"/>
      <c r="C268" s="198"/>
    </row>
    <row r="269">
      <c r="A269" s="37"/>
      <c r="B269" s="194"/>
      <c r="C269" s="198"/>
    </row>
    <row r="270">
      <c r="A270" s="37"/>
      <c r="B270" s="194"/>
      <c r="C270" s="198"/>
    </row>
    <row r="271">
      <c r="A271" s="37"/>
      <c r="B271" s="194"/>
      <c r="C271" s="198"/>
    </row>
    <row r="272">
      <c r="A272" s="37"/>
      <c r="B272" s="194"/>
      <c r="C272" s="198"/>
    </row>
    <row r="273">
      <c r="A273" s="37"/>
      <c r="B273" s="194"/>
      <c r="C273" s="198"/>
    </row>
    <row r="274">
      <c r="A274" s="37"/>
      <c r="B274" s="194"/>
      <c r="C274" s="198"/>
    </row>
    <row r="275">
      <c r="A275" s="37"/>
      <c r="B275" s="194"/>
      <c r="C275" s="198"/>
    </row>
    <row r="276">
      <c r="A276" s="37"/>
      <c r="B276" s="194"/>
      <c r="C276" s="198"/>
    </row>
    <row r="277">
      <c r="A277" s="37"/>
      <c r="B277" s="194"/>
      <c r="C277" s="198"/>
    </row>
    <row r="278">
      <c r="A278" s="37"/>
      <c r="B278" s="194"/>
      <c r="C278" s="198"/>
    </row>
    <row r="279">
      <c r="A279" s="37"/>
      <c r="B279" s="194"/>
      <c r="C279" s="198"/>
    </row>
    <row r="280">
      <c r="A280" s="37"/>
      <c r="B280" s="194"/>
      <c r="C280" s="198"/>
    </row>
    <row r="281">
      <c r="A281" s="37"/>
      <c r="B281" s="194"/>
      <c r="C281" s="198"/>
    </row>
    <row r="282">
      <c r="A282" s="37"/>
      <c r="B282" s="194"/>
      <c r="C282" s="198"/>
    </row>
    <row r="283">
      <c r="A283" s="37"/>
      <c r="B283" s="194"/>
      <c r="C283" s="198"/>
    </row>
    <row r="284">
      <c r="A284" s="37"/>
      <c r="B284" s="194"/>
      <c r="C284" s="198"/>
    </row>
    <row r="285">
      <c r="A285" s="37"/>
      <c r="B285" s="194"/>
      <c r="C285" s="198"/>
    </row>
    <row r="286">
      <c r="A286" s="37"/>
      <c r="B286" s="194"/>
      <c r="C286" s="198"/>
    </row>
    <row r="287">
      <c r="A287" s="37"/>
      <c r="B287" s="194"/>
      <c r="C287" s="198"/>
    </row>
    <row r="288">
      <c r="A288" s="37"/>
      <c r="B288" s="194"/>
      <c r="C288" s="198"/>
    </row>
    <row r="289">
      <c r="A289" s="37"/>
      <c r="B289" s="194"/>
      <c r="C289" s="198"/>
    </row>
    <row r="290">
      <c r="A290" s="37"/>
      <c r="B290" s="194"/>
      <c r="C290" s="198"/>
    </row>
    <row r="291">
      <c r="A291" s="37"/>
      <c r="B291" s="194"/>
      <c r="C291" s="198"/>
    </row>
    <row r="292">
      <c r="A292" s="37"/>
      <c r="B292" s="194"/>
      <c r="C292" s="198"/>
    </row>
    <row r="293">
      <c r="A293" s="37"/>
      <c r="B293" s="194"/>
      <c r="C293" s="198"/>
    </row>
    <row r="294">
      <c r="A294" s="37"/>
      <c r="B294" s="194"/>
      <c r="C294" s="198"/>
    </row>
    <row r="295">
      <c r="A295" s="37"/>
      <c r="B295" s="194"/>
      <c r="C295" s="198"/>
    </row>
    <row r="296">
      <c r="A296" s="37"/>
      <c r="B296" s="194"/>
      <c r="C296" s="198"/>
    </row>
    <row r="297">
      <c r="A297" s="37"/>
      <c r="B297" s="194"/>
      <c r="C297" s="198"/>
    </row>
    <row r="298">
      <c r="A298" s="37"/>
      <c r="B298" s="194"/>
      <c r="C298" s="198"/>
    </row>
    <row r="299">
      <c r="A299" s="37"/>
      <c r="B299" s="194"/>
      <c r="C299" s="198"/>
    </row>
    <row r="300">
      <c r="A300" s="37"/>
      <c r="B300" s="194"/>
      <c r="C300" s="198"/>
    </row>
    <row r="301">
      <c r="A301" s="37"/>
      <c r="B301" s="194"/>
      <c r="C301" s="198"/>
    </row>
    <row r="302">
      <c r="A302" s="37"/>
      <c r="B302" s="194"/>
      <c r="C302" s="198"/>
    </row>
    <row r="303">
      <c r="A303" s="37"/>
      <c r="B303" s="194"/>
      <c r="C303" s="198"/>
    </row>
    <row r="304">
      <c r="A304" s="37"/>
      <c r="B304" s="194"/>
      <c r="C304" s="198"/>
    </row>
    <row r="305">
      <c r="A305" s="37"/>
      <c r="B305" s="194"/>
      <c r="C305" s="198"/>
    </row>
    <row r="306">
      <c r="A306" s="37"/>
      <c r="B306" s="194"/>
      <c r="C306" s="198"/>
    </row>
    <row r="307">
      <c r="A307" s="37"/>
      <c r="B307" s="194"/>
      <c r="C307" s="198"/>
    </row>
    <row r="308">
      <c r="A308" s="37"/>
      <c r="B308" s="194"/>
      <c r="C308" s="198"/>
    </row>
    <row r="309">
      <c r="A309" s="37"/>
      <c r="B309" s="194"/>
      <c r="C309" s="198"/>
    </row>
    <row r="310">
      <c r="A310" s="37"/>
      <c r="B310" s="194"/>
      <c r="C310" s="198"/>
    </row>
    <row r="311">
      <c r="A311" s="37"/>
      <c r="B311" s="194"/>
      <c r="C311" s="198"/>
    </row>
    <row r="312">
      <c r="A312" s="37"/>
      <c r="B312" s="194"/>
      <c r="C312" s="198"/>
    </row>
    <row r="313">
      <c r="A313" s="37"/>
      <c r="B313" s="194"/>
      <c r="C313" s="198"/>
    </row>
    <row r="314">
      <c r="A314" s="37"/>
      <c r="B314" s="194"/>
      <c r="C314" s="198"/>
    </row>
    <row r="315">
      <c r="A315" s="37"/>
      <c r="B315" s="194"/>
      <c r="C315" s="198"/>
    </row>
    <row r="316">
      <c r="A316" s="37"/>
      <c r="B316" s="194"/>
      <c r="C316" s="198"/>
    </row>
    <row r="317">
      <c r="A317" s="37"/>
      <c r="B317" s="194"/>
      <c r="C317" s="198"/>
    </row>
    <row r="318">
      <c r="A318" s="37"/>
      <c r="B318" s="194"/>
      <c r="C318" s="198"/>
    </row>
    <row r="319">
      <c r="A319" s="37"/>
      <c r="B319" s="194"/>
      <c r="C319" s="198"/>
    </row>
    <row r="320">
      <c r="A320" s="37"/>
      <c r="B320" s="194"/>
      <c r="C320" s="198"/>
    </row>
    <row r="321">
      <c r="A321" s="37"/>
      <c r="B321" s="194"/>
      <c r="C321" s="198"/>
    </row>
    <row r="322">
      <c r="A322" s="37"/>
      <c r="B322" s="194"/>
      <c r="C322" s="198"/>
    </row>
    <row r="323">
      <c r="A323" s="37"/>
      <c r="B323" s="194"/>
      <c r="C323" s="198"/>
    </row>
    <row r="324">
      <c r="A324" s="37"/>
      <c r="B324" s="194"/>
      <c r="C324" s="198"/>
    </row>
    <row r="325">
      <c r="A325" s="37"/>
      <c r="B325" s="194"/>
      <c r="C325" s="198"/>
    </row>
    <row r="326">
      <c r="A326" s="37"/>
      <c r="B326" s="194"/>
      <c r="C326" s="198"/>
    </row>
    <row r="327">
      <c r="A327" s="37"/>
      <c r="B327" s="194"/>
      <c r="C327" s="198"/>
    </row>
    <row r="328">
      <c r="A328" s="37"/>
      <c r="B328" s="194"/>
      <c r="C328" s="198"/>
    </row>
    <row r="329">
      <c r="A329" s="37"/>
      <c r="B329" s="194"/>
      <c r="C329" s="198"/>
    </row>
    <row r="330">
      <c r="A330" s="37"/>
      <c r="B330" s="194"/>
      <c r="C330" s="198"/>
    </row>
    <row r="331">
      <c r="A331" s="37"/>
      <c r="B331" s="194"/>
      <c r="C331" s="198"/>
    </row>
    <row r="332">
      <c r="A332" s="37"/>
      <c r="B332" s="194"/>
      <c r="C332" s="198"/>
    </row>
    <row r="333">
      <c r="A333" s="37"/>
      <c r="B333" s="194"/>
      <c r="C333" s="198"/>
    </row>
    <row r="334">
      <c r="A334" s="37"/>
      <c r="B334" s="194"/>
      <c r="C334" s="198"/>
    </row>
    <row r="335">
      <c r="A335" s="37"/>
      <c r="B335" s="194"/>
      <c r="C335" s="198"/>
    </row>
    <row r="336">
      <c r="A336" s="37"/>
      <c r="B336" s="194"/>
      <c r="C336" s="198"/>
    </row>
    <row r="337">
      <c r="A337" s="37"/>
      <c r="B337" s="194"/>
      <c r="C337" s="198"/>
    </row>
    <row r="338">
      <c r="A338" s="37"/>
      <c r="B338" s="194"/>
      <c r="C338" s="198"/>
    </row>
    <row r="339">
      <c r="A339" s="37"/>
      <c r="B339" s="194"/>
      <c r="C339" s="198"/>
    </row>
    <row r="340">
      <c r="A340" s="37"/>
      <c r="B340" s="194"/>
      <c r="C340" s="198"/>
    </row>
    <row r="341">
      <c r="A341" s="37"/>
      <c r="B341" s="194"/>
      <c r="C341" s="198"/>
    </row>
    <row r="342">
      <c r="A342" s="37"/>
      <c r="B342" s="194"/>
      <c r="C342" s="198"/>
    </row>
    <row r="343">
      <c r="A343" s="37"/>
      <c r="B343" s="194"/>
      <c r="C343" s="198"/>
    </row>
    <row r="344">
      <c r="A344" s="37"/>
      <c r="B344" s="194"/>
      <c r="C344" s="198"/>
    </row>
    <row r="345">
      <c r="A345" s="37"/>
      <c r="B345" s="194"/>
      <c r="C345" s="198"/>
    </row>
    <row r="346">
      <c r="A346" s="37"/>
      <c r="B346" s="194"/>
      <c r="C346" s="198"/>
    </row>
    <row r="347">
      <c r="A347" s="37"/>
      <c r="B347" s="194"/>
      <c r="C347" s="198"/>
    </row>
    <row r="348">
      <c r="A348" s="37"/>
      <c r="B348" s="194"/>
      <c r="C348" s="198"/>
    </row>
    <row r="349">
      <c r="A349" s="37"/>
      <c r="B349" s="194"/>
      <c r="C349" s="198"/>
    </row>
    <row r="350">
      <c r="A350" s="37"/>
      <c r="B350" s="194"/>
      <c r="C350" s="198"/>
    </row>
    <row r="351">
      <c r="A351" s="37"/>
      <c r="B351" s="194"/>
      <c r="C351" s="198"/>
    </row>
    <row r="352">
      <c r="A352" s="37"/>
      <c r="B352" s="194"/>
      <c r="C352" s="198"/>
    </row>
    <row r="353">
      <c r="A353" s="37"/>
      <c r="B353" s="194"/>
      <c r="C353" s="198"/>
    </row>
    <row r="354">
      <c r="A354" s="37"/>
      <c r="B354" s="194"/>
      <c r="C354" s="198"/>
    </row>
    <row r="355">
      <c r="A355" s="37"/>
      <c r="B355" s="194"/>
      <c r="C355" s="198"/>
    </row>
    <row r="356">
      <c r="A356" s="37"/>
      <c r="B356" s="194"/>
      <c r="C356" s="198"/>
    </row>
    <row r="357">
      <c r="A357" s="37"/>
      <c r="B357" s="194"/>
      <c r="C357" s="198"/>
    </row>
    <row r="358">
      <c r="A358" s="37"/>
      <c r="B358" s="194"/>
      <c r="C358" s="198"/>
    </row>
    <row r="359">
      <c r="A359" s="37"/>
      <c r="B359" s="194"/>
      <c r="C359" s="198"/>
    </row>
    <row r="360">
      <c r="A360" s="37"/>
      <c r="B360" s="194"/>
      <c r="C360" s="198"/>
    </row>
    <row r="361">
      <c r="A361" s="37"/>
      <c r="B361" s="194"/>
      <c r="C361" s="198"/>
    </row>
    <row r="362">
      <c r="A362" s="37"/>
      <c r="B362" s="194"/>
      <c r="C362" s="198"/>
    </row>
    <row r="363">
      <c r="A363" s="37"/>
      <c r="B363" s="194"/>
      <c r="C363" s="198"/>
    </row>
    <row r="364">
      <c r="A364" s="37"/>
      <c r="B364" s="194"/>
      <c r="C364" s="198"/>
    </row>
    <row r="365">
      <c r="A365" s="37"/>
      <c r="B365" s="194"/>
      <c r="C365" s="198"/>
    </row>
    <row r="366">
      <c r="A366" s="37"/>
      <c r="B366" s="194"/>
      <c r="C366" s="198"/>
    </row>
    <row r="367">
      <c r="A367" s="37"/>
      <c r="B367" s="194"/>
      <c r="C367" s="198"/>
    </row>
    <row r="368">
      <c r="A368" s="37"/>
      <c r="B368" s="194"/>
      <c r="C368" s="198"/>
    </row>
    <row r="369">
      <c r="A369" s="37"/>
      <c r="B369" s="194"/>
      <c r="C369" s="198"/>
    </row>
    <row r="370">
      <c r="A370" s="37"/>
      <c r="B370" s="194"/>
      <c r="C370" s="198"/>
    </row>
    <row r="371">
      <c r="A371" s="37"/>
      <c r="B371" s="194"/>
      <c r="C371" s="198"/>
    </row>
    <row r="372">
      <c r="A372" s="37"/>
      <c r="B372" s="194"/>
      <c r="C372" s="198"/>
    </row>
    <row r="373">
      <c r="A373" s="37"/>
      <c r="B373" s="194"/>
      <c r="C373" s="198"/>
    </row>
    <row r="374">
      <c r="A374" s="37"/>
      <c r="B374" s="194"/>
      <c r="C374" s="198"/>
    </row>
    <row r="375">
      <c r="A375" s="37"/>
      <c r="B375" s="194"/>
      <c r="C375" s="198"/>
    </row>
    <row r="376">
      <c r="A376" s="37"/>
      <c r="B376" s="194"/>
      <c r="C376" s="198"/>
    </row>
    <row r="377">
      <c r="A377" s="37"/>
      <c r="B377" s="194"/>
      <c r="C377" s="198"/>
    </row>
    <row r="378">
      <c r="A378" s="37"/>
      <c r="B378" s="194"/>
      <c r="C378" s="198"/>
    </row>
    <row r="379">
      <c r="A379" s="37"/>
      <c r="B379" s="194"/>
      <c r="C379" s="198"/>
    </row>
    <row r="380">
      <c r="A380" s="37"/>
      <c r="B380" s="194"/>
      <c r="C380" s="198"/>
    </row>
    <row r="381">
      <c r="A381" s="37"/>
      <c r="B381" s="194"/>
      <c r="C381" s="198"/>
    </row>
    <row r="382">
      <c r="A382" s="37"/>
      <c r="B382" s="194"/>
      <c r="C382" s="198"/>
    </row>
    <row r="383">
      <c r="A383" s="37"/>
      <c r="B383" s="194"/>
      <c r="C383" s="198"/>
    </row>
    <row r="384">
      <c r="A384" s="37"/>
      <c r="B384" s="194"/>
      <c r="C384" s="198"/>
    </row>
    <row r="385">
      <c r="A385" s="37"/>
      <c r="B385" s="194"/>
      <c r="C385" s="198"/>
    </row>
    <row r="386">
      <c r="A386" s="37"/>
      <c r="B386" s="194"/>
      <c r="C386" s="198"/>
    </row>
    <row r="387">
      <c r="A387" s="37"/>
      <c r="B387" s="194"/>
      <c r="C387" s="198"/>
    </row>
    <row r="388">
      <c r="A388" s="37"/>
      <c r="B388" s="194"/>
      <c r="C388" s="198"/>
    </row>
    <row r="389">
      <c r="A389" s="37"/>
      <c r="B389" s="194"/>
      <c r="C389" s="198"/>
    </row>
    <row r="390">
      <c r="A390" s="37"/>
      <c r="B390" s="194"/>
      <c r="C390" s="198"/>
    </row>
    <row r="391">
      <c r="A391" s="37"/>
      <c r="B391" s="194"/>
      <c r="C391" s="198"/>
    </row>
    <row r="392">
      <c r="A392" s="37"/>
      <c r="B392" s="194"/>
      <c r="C392" s="198"/>
    </row>
    <row r="393">
      <c r="A393" s="37"/>
      <c r="B393" s="194"/>
      <c r="C393" s="198"/>
    </row>
    <row r="394">
      <c r="A394" s="37"/>
      <c r="B394" s="194"/>
      <c r="C394" s="198"/>
    </row>
    <row r="395">
      <c r="A395" s="37"/>
      <c r="B395" s="194"/>
      <c r="C395" s="198"/>
    </row>
    <row r="396">
      <c r="A396" s="37"/>
      <c r="B396" s="194"/>
      <c r="C396" s="198"/>
    </row>
    <row r="397">
      <c r="A397" s="37"/>
      <c r="B397" s="194"/>
      <c r="C397" s="198"/>
    </row>
    <row r="398">
      <c r="A398" s="37"/>
      <c r="B398" s="194"/>
      <c r="C398" s="198"/>
    </row>
    <row r="399">
      <c r="A399" s="37"/>
      <c r="B399" s="194"/>
      <c r="C399" s="198"/>
    </row>
    <row r="400">
      <c r="A400" s="37"/>
      <c r="B400" s="194"/>
      <c r="C400" s="198"/>
    </row>
    <row r="401">
      <c r="A401" s="37"/>
      <c r="B401" s="194"/>
      <c r="C401" s="198"/>
    </row>
    <row r="402">
      <c r="A402" s="37"/>
      <c r="B402" s="194"/>
      <c r="C402" s="198"/>
    </row>
    <row r="403">
      <c r="A403" s="37"/>
      <c r="B403" s="194"/>
      <c r="C403" s="198"/>
    </row>
    <row r="404">
      <c r="A404" s="37"/>
      <c r="B404" s="194"/>
      <c r="C404" s="198"/>
    </row>
    <row r="405">
      <c r="A405" s="37"/>
      <c r="B405" s="194"/>
      <c r="C405" s="198"/>
    </row>
    <row r="406">
      <c r="A406" s="37"/>
      <c r="B406" s="194"/>
      <c r="C406" s="198"/>
    </row>
    <row r="407">
      <c r="A407" s="37"/>
      <c r="B407" s="194"/>
      <c r="C407" s="198"/>
    </row>
    <row r="408">
      <c r="A408" s="37"/>
      <c r="B408" s="194"/>
      <c r="C408" s="198"/>
    </row>
    <row r="409">
      <c r="A409" s="37"/>
      <c r="B409" s="194"/>
      <c r="C409" s="198"/>
    </row>
    <row r="410">
      <c r="A410" s="37"/>
      <c r="B410" s="194"/>
      <c r="C410" s="198"/>
    </row>
    <row r="411">
      <c r="A411" s="37"/>
      <c r="B411" s="194"/>
      <c r="C411" s="198"/>
    </row>
    <row r="412">
      <c r="A412" s="37"/>
      <c r="B412" s="194"/>
      <c r="C412" s="198"/>
    </row>
    <row r="413">
      <c r="A413" s="37"/>
      <c r="B413" s="194"/>
      <c r="C413" s="198"/>
    </row>
    <row r="414">
      <c r="A414" s="37"/>
      <c r="B414" s="194"/>
      <c r="C414" s="198"/>
    </row>
    <row r="415">
      <c r="A415" s="37"/>
      <c r="B415" s="194"/>
      <c r="C415" s="198"/>
    </row>
    <row r="416">
      <c r="A416" s="37"/>
      <c r="B416" s="194"/>
      <c r="C416" s="198"/>
    </row>
    <row r="417">
      <c r="A417" s="37"/>
      <c r="B417" s="194"/>
      <c r="C417" s="198"/>
    </row>
    <row r="418">
      <c r="A418" s="37"/>
      <c r="B418" s="194"/>
      <c r="C418" s="198"/>
    </row>
    <row r="419">
      <c r="A419" s="37"/>
      <c r="B419" s="194"/>
      <c r="C419" s="198"/>
    </row>
    <row r="420">
      <c r="A420" s="37"/>
      <c r="B420" s="194"/>
      <c r="C420" s="198"/>
    </row>
    <row r="421">
      <c r="A421" s="37"/>
      <c r="B421" s="194"/>
      <c r="C421" s="198"/>
    </row>
    <row r="422">
      <c r="A422" s="37"/>
      <c r="B422" s="194"/>
      <c r="C422" s="198"/>
    </row>
    <row r="423">
      <c r="A423" s="37"/>
      <c r="B423" s="194"/>
      <c r="C423" s="198"/>
    </row>
    <row r="424">
      <c r="A424" s="37"/>
      <c r="B424" s="194"/>
      <c r="C424" s="198"/>
    </row>
    <row r="425">
      <c r="A425" s="37"/>
      <c r="B425" s="194"/>
      <c r="C425" s="198"/>
    </row>
    <row r="426">
      <c r="A426" s="37"/>
      <c r="B426" s="194"/>
      <c r="C426" s="198"/>
    </row>
    <row r="427">
      <c r="A427" s="37"/>
      <c r="B427" s="194"/>
      <c r="C427" s="198"/>
    </row>
    <row r="428">
      <c r="A428" s="37"/>
      <c r="B428" s="194"/>
      <c r="C428" s="198"/>
    </row>
    <row r="429">
      <c r="A429" s="37"/>
      <c r="B429" s="194"/>
      <c r="C429" s="198"/>
    </row>
    <row r="430">
      <c r="A430" s="37"/>
      <c r="B430" s="194"/>
      <c r="C430" s="198"/>
    </row>
    <row r="431">
      <c r="A431" s="37"/>
      <c r="B431" s="194"/>
      <c r="C431" s="198"/>
    </row>
    <row r="432">
      <c r="A432" s="37"/>
      <c r="B432" s="194"/>
      <c r="C432" s="198"/>
    </row>
    <row r="433">
      <c r="A433" s="37"/>
      <c r="B433" s="194"/>
      <c r="C433" s="198"/>
    </row>
    <row r="434">
      <c r="A434" s="37"/>
      <c r="B434" s="194"/>
      <c r="C434" s="198"/>
    </row>
    <row r="435">
      <c r="A435" s="37"/>
      <c r="B435" s="194"/>
      <c r="C435" s="198"/>
    </row>
    <row r="436">
      <c r="A436" s="37"/>
      <c r="B436" s="194"/>
      <c r="C436" s="198"/>
    </row>
    <row r="437">
      <c r="A437" s="37"/>
      <c r="B437" s="194"/>
      <c r="C437" s="198"/>
    </row>
    <row r="438">
      <c r="A438" s="37"/>
      <c r="B438" s="194"/>
      <c r="C438" s="198"/>
    </row>
    <row r="439">
      <c r="A439" s="37"/>
      <c r="B439" s="194"/>
      <c r="C439" s="198"/>
    </row>
    <row r="440">
      <c r="A440" s="37"/>
      <c r="B440" s="194"/>
      <c r="C440" s="198"/>
    </row>
    <row r="441">
      <c r="A441" s="37"/>
      <c r="B441" s="194"/>
      <c r="C441" s="198"/>
    </row>
    <row r="442">
      <c r="A442" s="37"/>
      <c r="B442" s="194"/>
      <c r="C442" s="198"/>
    </row>
    <row r="443">
      <c r="A443" s="37"/>
      <c r="B443" s="194"/>
      <c r="C443" s="198"/>
    </row>
    <row r="444">
      <c r="A444" s="37"/>
      <c r="B444" s="194"/>
      <c r="C444" s="198"/>
    </row>
    <row r="445">
      <c r="A445" s="37"/>
      <c r="B445" s="194"/>
      <c r="C445" s="198"/>
    </row>
    <row r="446">
      <c r="A446" s="37"/>
      <c r="B446" s="194"/>
      <c r="C446" s="198"/>
    </row>
    <row r="447">
      <c r="A447" s="37"/>
      <c r="B447" s="194"/>
      <c r="C447" s="198"/>
    </row>
    <row r="448">
      <c r="A448" s="37"/>
      <c r="B448" s="194"/>
      <c r="C448" s="198"/>
    </row>
    <row r="449">
      <c r="A449" s="37"/>
      <c r="B449" s="194"/>
      <c r="C449" s="198"/>
    </row>
    <row r="450">
      <c r="A450" s="37"/>
      <c r="B450" s="194"/>
      <c r="C450" s="198"/>
    </row>
    <row r="451">
      <c r="A451" s="37"/>
      <c r="B451" s="194"/>
      <c r="C451" s="198"/>
    </row>
    <row r="452">
      <c r="A452" s="37"/>
      <c r="B452" s="194"/>
      <c r="C452" s="198"/>
    </row>
    <row r="453">
      <c r="A453" s="37"/>
      <c r="B453" s="194"/>
      <c r="C453" s="198"/>
    </row>
    <row r="454">
      <c r="A454" s="37"/>
      <c r="B454" s="194"/>
      <c r="C454" s="198"/>
    </row>
    <row r="455">
      <c r="A455" s="37"/>
      <c r="B455" s="194"/>
      <c r="C455" s="198"/>
    </row>
    <row r="456">
      <c r="A456" s="37"/>
      <c r="B456" s="194"/>
      <c r="C456" s="198"/>
    </row>
    <row r="457">
      <c r="A457" s="37"/>
      <c r="B457" s="194"/>
      <c r="C457" s="198"/>
    </row>
    <row r="458">
      <c r="A458" s="37"/>
      <c r="B458" s="194"/>
      <c r="C458" s="198"/>
    </row>
    <row r="459">
      <c r="A459" s="37"/>
      <c r="B459" s="194"/>
      <c r="C459" s="198"/>
    </row>
    <row r="460">
      <c r="A460" s="37"/>
      <c r="B460" s="194"/>
      <c r="C460" s="198"/>
    </row>
    <row r="461">
      <c r="A461" s="37"/>
      <c r="B461" s="194"/>
      <c r="C461" s="198"/>
    </row>
    <row r="462">
      <c r="A462" s="37"/>
      <c r="B462" s="194"/>
      <c r="C462" s="198"/>
    </row>
    <row r="463">
      <c r="A463" s="37"/>
      <c r="B463" s="194"/>
      <c r="C463" s="198"/>
    </row>
    <row r="464">
      <c r="A464" s="37"/>
      <c r="B464" s="194"/>
      <c r="C464" s="198"/>
    </row>
    <row r="465">
      <c r="A465" s="37"/>
      <c r="B465" s="194"/>
      <c r="C465" s="198"/>
    </row>
    <row r="466">
      <c r="A466" s="37"/>
      <c r="B466" s="194"/>
      <c r="C466" s="198"/>
    </row>
    <row r="467">
      <c r="A467" s="37"/>
      <c r="B467" s="194"/>
      <c r="C467" s="198"/>
    </row>
    <row r="468">
      <c r="A468" s="37"/>
      <c r="B468" s="194"/>
      <c r="C468" s="198"/>
    </row>
    <row r="469">
      <c r="A469" s="37"/>
      <c r="B469" s="194"/>
      <c r="C469" s="198"/>
    </row>
    <row r="470">
      <c r="A470" s="37"/>
      <c r="B470" s="194"/>
      <c r="C470" s="198"/>
    </row>
    <row r="471">
      <c r="A471" s="37"/>
      <c r="B471" s="194"/>
      <c r="C471" s="198"/>
    </row>
    <row r="472">
      <c r="A472" s="37"/>
      <c r="B472" s="194"/>
      <c r="C472" s="198"/>
    </row>
    <row r="473">
      <c r="A473" s="37"/>
      <c r="B473" s="194"/>
      <c r="C473" s="198"/>
    </row>
    <row r="474">
      <c r="A474" s="37"/>
      <c r="B474" s="194"/>
      <c r="C474" s="198"/>
    </row>
    <row r="475">
      <c r="A475" s="37"/>
      <c r="B475" s="194"/>
      <c r="C475" s="198"/>
    </row>
    <row r="476">
      <c r="A476" s="37"/>
      <c r="B476" s="194"/>
      <c r="C476" s="198"/>
    </row>
    <row r="477">
      <c r="A477" s="37"/>
      <c r="B477" s="194"/>
      <c r="C477" s="198"/>
    </row>
    <row r="478">
      <c r="A478" s="37"/>
      <c r="B478" s="194"/>
      <c r="C478" s="198"/>
    </row>
    <row r="479">
      <c r="A479" s="37"/>
      <c r="B479" s="194"/>
      <c r="C479" s="198"/>
    </row>
    <row r="480">
      <c r="A480" s="37"/>
      <c r="B480" s="194"/>
      <c r="C480" s="198"/>
    </row>
    <row r="481">
      <c r="A481" s="37"/>
      <c r="B481" s="194"/>
      <c r="C481" s="198"/>
    </row>
    <row r="482">
      <c r="A482" s="37"/>
      <c r="B482" s="194"/>
      <c r="C482" s="198"/>
    </row>
    <row r="483">
      <c r="A483" s="37"/>
      <c r="B483" s="194"/>
      <c r="C483" s="198"/>
    </row>
    <row r="484">
      <c r="A484" s="37"/>
      <c r="B484" s="194"/>
      <c r="C484" s="198"/>
    </row>
    <row r="485">
      <c r="A485" s="37"/>
      <c r="B485" s="194"/>
      <c r="C485" s="198"/>
    </row>
    <row r="486">
      <c r="A486" s="37"/>
      <c r="B486" s="194"/>
      <c r="C486" s="198"/>
    </row>
    <row r="487">
      <c r="A487" s="37"/>
      <c r="B487" s="194"/>
      <c r="C487" s="198"/>
    </row>
    <row r="488">
      <c r="A488" s="37"/>
      <c r="B488" s="194"/>
      <c r="C488" s="198"/>
    </row>
    <row r="489">
      <c r="A489" s="37"/>
      <c r="B489" s="194"/>
      <c r="C489" s="198"/>
    </row>
    <row r="490">
      <c r="A490" s="37"/>
      <c r="B490" s="194"/>
      <c r="C490" s="198"/>
    </row>
    <row r="491">
      <c r="A491" s="37"/>
      <c r="B491" s="194"/>
      <c r="C491" s="198"/>
    </row>
    <row r="492">
      <c r="A492" s="37"/>
      <c r="B492" s="194"/>
      <c r="C492" s="198"/>
    </row>
    <row r="493">
      <c r="A493" s="37"/>
      <c r="B493" s="194"/>
      <c r="C493" s="198"/>
    </row>
    <row r="494">
      <c r="A494" s="37"/>
      <c r="B494" s="194"/>
      <c r="C494" s="198"/>
    </row>
    <row r="495">
      <c r="A495" s="37"/>
      <c r="B495" s="194"/>
      <c r="C495" s="198"/>
    </row>
    <row r="496">
      <c r="A496" s="37"/>
      <c r="B496" s="194"/>
      <c r="C496" s="198"/>
    </row>
    <row r="497">
      <c r="A497" s="37"/>
      <c r="B497" s="194"/>
      <c r="C497" s="198"/>
    </row>
    <row r="498">
      <c r="A498" s="37"/>
      <c r="B498" s="194"/>
      <c r="C498" s="198"/>
    </row>
    <row r="499">
      <c r="A499" s="37"/>
      <c r="B499" s="194"/>
      <c r="C499" s="198"/>
    </row>
    <row r="500">
      <c r="A500" s="37"/>
      <c r="B500" s="194"/>
      <c r="C500" s="198"/>
    </row>
    <row r="501">
      <c r="A501" s="37"/>
      <c r="B501" s="194"/>
      <c r="C501" s="198"/>
    </row>
    <row r="502">
      <c r="A502" s="37"/>
      <c r="B502" s="194"/>
      <c r="C502" s="198"/>
    </row>
    <row r="503">
      <c r="A503" s="37"/>
      <c r="B503" s="194"/>
      <c r="C503" s="198"/>
    </row>
    <row r="504">
      <c r="A504" s="37"/>
      <c r="B504" s="194"/>
      <c r="C504" s="198"/>
    </row>
    <row r="505">
      <c r="A505" s="37"/>
      <c r="B505" s="194"/>
      <c r="C505" s="198"/>
    </row>
    <row r="506">
      <c r="A506" s="37"/>
      <c r="B506" s="194"/>
      <c r="C506" s="198"/>
    </row>
    <row r="507">
      <c r="A507" s="37"/>
      <c r="B507" s="194"/>
      <c r="C507" s="198"/>
    </row>
    <row r="508">
      <c r="A508" s="37"/>
      <c r="B508" s="194"/>
      <c r="C508" s="198"/>
    </row>
    <row r="509">
      <c r="A509" s="37"/>
      <c r="B509" s="194"/>
      <c r="C509" s="198"/>
    </row>
    <row r="510">
      <c r="A510" s="37"/>
      <c r="B510" s="194"/>
      <c r="C510" s="198"/>
    </row>
    <row r="511">
      <c r="A511" s="37"/>
      <c r="B511" s="194"/>
      <c r="C511" s="198"/>
    </row>
    <row r="512">
      <c r="A512" s="37"/>
      <c r="B512" s="194"/>
      <c r="C512" s="198"/>
    </row>
    <row r="513">
      <c r="A513" s="37"/>
      <c r="B513" s="194"/>
      <c r="C513" s="198"/>
    </row>
    <row r="514">
      <c r="A514" s="37"/>
      <c r="B514" s="194"/>
      <c r="C514" s="198"/>
    </row>
    <row r="515">
      <c r="A515" s="37"/>
      <c r="B515" s="194"/>
      <c r="C515" s="198"/>
    </row>
    <row r="516">
      <c r="A516" s="37"/>
      <c r="B516" s="194"/>
      <c r="C516" s="198"/>
    </row>
    <row r="517">
      <c r="A517" s="37"/>
      <c r="B517" s="194"/>
      <c r="C517" s="198"/>
    </row>
    <row r="518">
      <c r="A518" s="37"/>
      <c r="B518" s="194"/>
      <c r="C518" s="198"/>
    </row>
    <row r="519">
      <c r="A519" s="37"/>
      <c r="B519" s="194"/>
      <c r="C519" s="198"/>
    </row>
    <row r="520">
      <c r="A520" s="37"/>
      <c r="B520" s="194"/>
      <c r="C520" s="198"/>
    </row>
    <row r="521">
      <c r="A521" s="37"/>
      <c r="B521" s="194"/>
      <c r="C521" s="198"/>
    </row>
    <row r="522">
      <c r="A522" s="37"/>
      <c r="B522" s="194"/>
      <c r="C522" s="198"/>
    </row>
    <row r="523">
      <c r="A523" s="37"/>
      <c r="B523" s="194"/>
      <c r="C523" s="198"/>
    </row>
    <row r="524">
      <c r="A524" s="37"/>
      <c r="B524" s="194"/>
      <c r="C524" s="198"/>
    </row>
    <row r="525">
      <c r="A525" s="37"/>
      <c r="B525" s="194"/>
      <c r="C525" s="198"/>
    </row>
    <row r="526">
      <c r="A526" s="37"/>
      <c r="B526" s="194"/>
      <c r="C526" s="198"/>
    </row>
    <row r="527">
      <c r="A527" s="37"/>
      <c r="B527" s="194"/>
      <c r="C527" s="198"/>
    </row>
    <row r="528">
      <c r="A528" s="37"/>
      <c r="B528" s="194"/>
      <c r="C528" s="198"/>
    </row>
    <row r="529">
      <c r="A529" s="37"/>
      <c r="B529" s="194"/>
      <c r="C529" s="198"/>
    </row>
    <row r="530">
      <c r="A530" s="37"/>
      <c r="B530" s="194"/>
      <c r="C530" s="198"/>
    </row>
    <row r="531">
      <c r="A531" s="37"/>
      <c r="B531" s="194"/>
      <c r="C531" s="198"/>
    </row>
    <row r="532">
      <c r="A532" s="37"/>
      <c r="B532" s="194"/>
      <c r="C532" s="198"/>
    </row>
    <row r="533">
      <c r="A533" s="37"/>
      <c r="B533" s="194"/>
      <c r="C533" s="198"/>
    </row>
    <row r="534">
      <c r="A534" s="37"/>
      <c r="B534" s="194"/>
      <c r="C534" s="198"/>
    </row>
    <row r="535">
      <c r="A535" s="37"/>
      <c r="B535" s="194"/>
      <c r="C535" s="198"/>
    </row>
    <row r="536">
      <c r="A536" s="37"/>
      <c r="B536" s="194"/>
      <c r="C536" s="198"/>
    </row>
    <row r="537">
      <c r="A537" s="37"/>
      <c r="B537" s="194"/>
      <c r="C537" s="198"/>
    </row>
    <row r="538">
      <c r="A538" s="37"/>
      <c r="B538" s="194"/>
      <c r="C538" s="198"/>
    </row>
    <row r="539">
      <c r="A539" s="37"/>
      <c r="B539" s="194"/>
      <c r="C539" s="198"/>
    </row>
    <row r="540">
      <c r="A540" s="37"/>
      <c r="B540" s="194"/>
      <c r="C540" s="198"/>
    </row>
    <row r="541">
      <c r="A541" s="37"/>
      <c r="B541" s="194"/>
      <c r="C541" s="198"/>
    </row>
    <row r="542">
      <c r="A542" s="37"/>
      <c r="B542" s="194"/>
      <c r="C542" s="198"/>
    </row>
    <row r="543">
      <c r="A543" s="37"/>
      <c r="B543" s="194"/>
      <c r="C543" s="198"/>
    </row>
    <row r="544">
      <c r="A544" s="37"/>
      <c r="B544" s="194"/>
      <c r="C544" s="198"/>
    </row>
    <row r="545">
      <c r="A545" s="37"/>
      <c r="B545" s="194"/>
      <c r="C545" s="198"/>
    </row>
    <row r="546">
      <c r="A546" s="37"/>
      <c r="B546" s="194"/>
      <c r="C546" s="198"/>
    </row>
    <row r="547">
      <c r="A547" s="37"/>
      <c r="B547" s="194"/>
      <c r="C547" s="198"/>
    </row>
    <row r="548">
      <c r="A548" s="37"/>
      <c r="B548" s="194"/>
      <c r="C548" s="198"/>
    </row>
    <row r="549">
      <c r="A549" s="37"/>
      <c r="B549" s="194"/>
      <c r="C549" s="198"/>
    </row>
    <row r="550">
      <c r="A550" s="37"/>
      <c r="B550" s="194"/>
      <c r="C550" s="198"/>
    </row>
    <row r="551">
      <c r="A551" s="37"/>
      <c r="B551" s="194"/>
      <c r="C551" s="198"/>
    </row>
    <row r="552">
      <c r="A552" s="37"/>
      <c r="B552" s="194"/>
      <c r="C552" s="198"/>
    </row>
    <row r="553">
      <c r="A553" s="37"/>
      <c r="B553" s="194"/>
      <c r="C553" s="198"/>
    </row>
    <row r="554">
      <c r="A554" s="37"/>
      <c r="B554" s="194"/>
      <c r="C554" s="198"/>
    </row>
    <row r="555">
      <c r="A555" s="37"/>
      <c r="B555" s="194"/>
      <c r="C555" s="198"/>
    </row>
    <row r="556">
      <c r="A556" s="37"/>
      <c r="B556" s="194"/>
      <c r="C556" s="198"/>
    </row>
    <row r="557">
      <c r="A557" s="37"/>
      <c r="B557" s="194"/>
      <c r="C557" s="198"/>
    </row>
    <row r="558">
      <c r="A558" s="37"/>
      <c r="B558" s="194"/>
      <c r="C558" s="198"/>
    </row>
    <row r="559">
      <c r="A559" s="37"/>
      <c r="B559" s="194"/>
      <c r="C559" s="198"/>
    </row>
    <row r="560">
      <c r="A560" s="37"/>
      <c r="B560" s="194"/>
      <c r="C560" s="198"/>
    </row>
    <row r="561">
      <c r="A561" s="37"/>
      <c r="B561" s="194"/>
      <c r="C561" s="198"/>
    </row>
    <row r="562">
      <c r="A562" s="37"/>
      <c r="B562" s="194"/>
      <c r="C562" s="198"/>
    </row>
    <row r="563">
      <c r="A563" s="37"/>
      <c r="B563" s="194"/>
      <c r="C563" s="198"/>
    </row>
    <row r="564">
      <c r="A564" s="37"/>
      <c r="B564" s="194"/>
      <c r="C564" s="198"/>
    </row>
    <row r="565">
      <c r="A565" s="37"/>
      <c r="B565" s="194"/>
      <c r="C565" s="198"/>
    </row>
    <row r="566">
      <c r="A566" s="37"/>
      <c r="B566" s="194"/>
      <c r="C566" s="198"/>
    </row>
    <row r="567">
      <c r="A567" s="37"/>
      <c r="B567" s="194"/>
      <c r="C567" s="198"/>
    </row>
    <row r="568">
      <c r="A568" s="37"/>
      <c r="B568" s="194"/>
      <c r="C568" s="198"/>
    </row>
    <row r="569">
      <c r="A569" s="37"/>
      <c r="B569" s="194"/>
      <c r="C569" s="198"/>
    </row>
    <row r="570">
      <c r="A570" s="37"/>
      <c r="B570" s="194"/>
      <c r="C570" s="198"/>
    </row>
    <row r="571">
      <c r="A571" s="37"/>
      <c r="B571" s="194"/>
      <c r="C571" s="198"/>
    </row>
    <row r="572">
      <c r="A572" s="37"/>
      <c r="B572" s="194"/>
      <c r="C572" s="198"/>
    </row>
    <row r="573">
      <c r="A573" s="37"/>
      <c r="B573" s="194"/>
      <c r="C573" s="198"/>
    </row>
    <row r="574">
      <c r="A574" s="37"/>
      <c r="B574" s="194"/>
      <c r="C574" s="198"/>
    </row>
    <row r="575">
      <c r="A575" s="37"/>
      <c r="B575" s="194"/>
      <c r="C575" s="198"/>
    </row>
    <row r="576">
      <c r="A576" s="37"/>
      <c r="B576" s="194"/>
      <c r="C576" s="198"/>
    </row>
    <row r="577">
      <c r="A577" s="37"/>
      <c r="B577" s="194"/>
      <c r="C577" s="198"/>
    </row>
    <row r="578">
      <c r="A578" s="37"/>
      <c r="B578" s="194"/>
      <c r="C578" s="198"/>
    </row>
    <row r="579">
      <c r="A579" s="37"/>
      <c r="B579" s="194"/>
      <c r="C579" s="198"/>
    </row>
    <row r="580">
      <c r="A580" s="37"/>
      <c r="B580" s="194"/>
      <c r="C580" s="198"/>
    </row>
    <row r="581">
      <c r="A581" s="37"/>
      <c r="B581" s="194"/>
      <c r="C581" s="198"/>
    </row>
    <row r="582">
      <c r="A582" s="37"/>
      <c r="B582" s="194"/>
      <c r="C582" s="198"/>
    </row>
    <row r="583">
      <c r="A583" s="37"/>
      <c r="B583" s="194"/>
      <c r="C583" s="198"/>
    </row>
    <row r="584">
      <c r="A584" s="37"/>
      <c r="B584" s="194"/>
      <c r="C584" s="198"/>
    </row>
    <row r="585">
      <c r="A585" s="37"/>
      <c r="B585" s="194"/>
      <c r="C585" s="198"/>
    </row>
    <row r="586">
      <c r="A586" s="37"/>
      <c r="B586" s="194"/>
      <c r="C586" s="198"/>
    </row>
    <row r="587">
      <c r="A587" s="37"/>
      <c r="B587" s="194"/>
      <c r="C587" s="198"/>
    </row>
    <row r="588">
      <c r="A588" s="37"/>
      <c r="B588" s="194"/>
      <c r="C588" s="198"/>
    </row>
    <row r="589">
      <c r="A589" s="37"/>
      <c r="B589" s="194"/>
      <c r="C589" s="198"/>
    </row>
    <row r="590">
      <c r="A590" s="37"/>
      <c r="B590" s="194"/>
      <c r="C590" s="198"/>
    </row>
    <row r="591">
      <c r="A591" s="37"/>
      <c r="B591" s="194"/>
      <c r="C591" s="198"/>
    </row>
    <row r="592">
      <c r="A592" s="37"/>
      <c r="B592" s="194"/>
      <c r="C592" s="198"/>
    </row>
    <row r="593">
      <c r="A593" s="37"/>
      <c r="B593" s="194"/>
      <c r="C593" s="198"/>
    </row>
    <row r="594">
      <c r="A594" s="37"/>
      <c r="B594" s="194"/>
      <c r="C594" s="198"/>
    </row>
    <row r="595">
      <c r="A595" s="37"/>
      <c r="B595" s="194"/>
      <c r="C595" s="198"/>
    </row>
    <row r="596">
      <c r="A596" s="37"/>
      <c r="B596" s="194"/>
      <c r="C596" s="198"/>
    </row>
    <row r="597">
      <c r="A597" s="37"/>
      <c r="B597" s="194"/>
      <c r="C597" s="198"/>
    </row>
    <row r="598">
      <c r="A598" s="37"/>
      <c r="B598" s="194"/>
      <c r="C598" s="198"/>
    </row>
    <row r="599">
      <c r="A599" s="37"/>
      <c r="B599" s="194"/>
      <c r="C599" s="198"/>
    </row>
    <row r="600">
      <c r="A600" s="37"/>
      <c r="B600" s="194"/>
      <c r="C600" s="198"/>
    </row>
    <row r="601">
      <c r="A601" s="37"/>
      <c r="B601" s="194"/>
      <c r="C601" s="198"/>
    </row>
    <row r="602">
      <c r="A602" s="37"/>
      <c r="B602" s="194"/>
      <c r="C602" s="198"/>
    </row>
    <row r="603">
      <c r="A603" s="37"/>
      <c r="B603" s="194"/>
      <c r="C603" s="198"/>
    </row>
    <row r="604">
      <c r="A604" s="37"/>
      <c r="B604" s="194"/>
      <c r="C604" s="198"/>
    </row>
    <row r="605">
      <c r="A605" s="37"/>
      <c r="B605" s="194"/>
      <c r="C605" s="198"/>
    </row>
    <row r="606">
      <c r="A606" s="37"/>
      <c r="B606" s="194"/>
      <c r="C606" s="198"/>
    </row>
    <row r="607">
      <c r="A607" s="37"/>
      <c r="B607" s="194"/>
      <c r="C607" s="198"/>
    </row>
    <row r="608">
      <c r="A608" s="37"/>
      <c r="B608" s="194"/>
      <c r="C608" s="198"/>
    </row>
    <row r="609">
      <c r="A609" s="37"/>
      <c r="B609" s="194"/>
      <c r="C609" s="198"/>
    </row>
    <row r="610">
      <c r="A610" s="37"/>
      <c r="B610" s="194"/>
      <c r="C610" s="198"/>
    </row>
    <row r="611">
      <c r="A611" s="37"/>
      <c r="B611" s="194"/>
      <c r="C611" s="198"/>
    </row>
    <row r="612">
      <c r="A612" s="37"/>
      <c r="B612" s="194"/>
      <c r="C612" s="198"/>
    </row>
    <row r="613">
      <c r="A613" s="37"/>
      <c r="B613" s="194"/>
      <c r="C613" s="198"/>
    </row>
    <row r="614">
      <c r="A614" s="37"/>
      <c r="B614" s="194"/>
      <c r="C614" s="198"/>
    </row>
    <row r="615">
      <c r="A615" s="37"/>
      <c r="B615" s="194"/>
      <c r="C615" s="198"/>
    </row>
    <row r="616">
      <c r="A616" s="37"/>
      <c r="B616" s="194"/>
      <c r="C616" s="198"/>
    </row>
    <row r="617">
      <c r="A617" s="37"/>
      <c r="B617" s="194"/>
      <c r="C617" s="198"/>
    </row>
    <row r="618">
      <c r="A618" s="37"/>
      <c r="B618" s="194"/>
      <c r="C618" s="198"/>
    </row>
    <row r="619">
      <c r="A619" s="37"/>
      <c r="B619" s="194"/>
      <c r="C619" s="198"/>
    </row>
    <row r="620">
      <c r="A620" s="37"/>
      <c r="B620" s="194"/>
      <c r="C620" s="198"/>
    </row>
    <row r="621">
      <c r="A621" s="37"/>
      <c r="B621" s="194"/>
      <c r="C621" s="198"/>
    </row>
    <row r="622">
      <c r="A622" s="37"/>
      <c r="B622" s="194"/>
      <c r="C622" s="198"/>
    </row>
    <row r="623">
      <c r="A623" s="37"/>
      <c r="B623" s="194"/>
      <c r="C623" s="198"/>
    </row>
    <row r="624">
      <c r="A624" s="37"/>
      <c r="B624" s="194"/>
      <c r="C624" s="198"/>
    </row>
    <row r="625">
      <c r="A625" s="37"/>
      <c r="B625" s="194"/>
      <c r="C625" s="198"/>
    </row>
    <row r="626">
      <c r="A626" s="37"/>
      <c r="B626" s="194"/>
      <c r="C626" s="198"/>
    </row>
    <row r="627">
      <c r="A627" s="37"/>
      <c r="B627" s="194"/>
      <c r="C627" s="198"/>
    </row>
    <row r="628">
      <c r="A628" s="37"/>
      <c r="B628" s="194"/>
      <c r="C628" s="198"/>
    </row>
    <row r="629">
      <c r="A629" s="37"/>
      <c r="B629" s="194"/>
      <c r="C629" s="198"/>
    </row>
    <row r="630">
      <c r="A630" s="37"/>
      <c r="B630" s="194"/>
      <c r="C630" s="198"/>
    </row>
    <row r="631">
      <c r="A631" s="37"/>
      <c r="B631" s="194"/>
      <c r="C631" s="198"/>
    </row>
    <row r="632">
      <c r="A632" s="37"/>
      <c r="B632" s="194"/>
      <c r="C632" s="198"/>
    </row>
    <row r="633">
      <c r="A633" s="37"/>
      <c r="B633" s="194"/>
      <c r="C633" s="198"/>
    </row>
    <row r="634">
      <c r="A634" s="37"/>
      <c r="B634" s="194"/>
      <c r="C634" s="198"/>
    </row>
    <row r="635">
      <c r="A635" s="37"/>
      <c r="B635" s="194"/>
      <c r="C635" s="198"/>
    </row>
    <row r="636">
      <c r="A636" s="37"/>
      <c r="B636" s="194"/>
      <c r="C636" s="198"/>
    </row>
    <row r="637">
      <c r="A637" s="37"/>
      <c r="B637" s="194"/>
      <c r="C637" s="198"/>
    </row>
    <row r="638">
      <c r="A638" s="37"/>
      <c r="B638" s="194"/>
      <c r="C638" s="198"/>
    </row>
    <row r="639">
      <c r="A639" s="37"/>
      <c r="B639" s="194"/>
      <c r="C639" s="198"/>
    </row>
    <row r="640">
      <c r="A640" s="37"/>
      <c r="B640" s="194"/>
      <c r="C640" s="198"/>
    </row>
    <row r="641">
      <c r="A641" s="37"/>
      <c r="B641" s="194"/>
      <c r="C641" s="198"/>
    </row>
    <row r="642">
      <c r="A642" s="37"/>
      <c r="B642" s="194"/>
      <c r="C642" s="198"/>
    </row>
    <row r="643">
      <c r="A643" s="37"/>
      <c r="B643" s="194"/>
      <c r="C643" s="198"/>
    </row>
    <row r="644">
      <c r="A644" s="37"/>
      <c r="B644" s="194"/>
      <c r="C644" s="198"/>
    </row>
    <row r="645">
      <c r="A645" s="37"/>
      <c r="B645" s="194"/>
      <c r="C645" s="198"/>
    </row>
    <row r="646">
      <c r="A646" s="37"/>
      <c r="B646" s="194"/>
      <c r="C646" s="198"/>
    </row>
    <row r="647">
      <c r="A647" s="37"/>
      <c r="B647" s="194"/>
      <c r="C647" s="198"/>
    </row>
    <row r="648">
      <c r="A648" s="37"/>
      <c r="B648" s="194"/>
      <c r="C648" s="198"/>
    </row>
    <row r="649">
      <c r="A649" s="37"/>
      <c r="B649" s="194"/>
      <c r="C649" s="198"/>
    </row>
    <row r="650">
      <c r="A650" s="37"/>
      <c r="B650" s="194"/>
      <c r="C650" s="198"/>
    </row>
    <row r="651">
      <c r="A651" s="37"/>
      <c r="B651" s="194"/>
      <c r="C651" s="198"/>
    </row>
    <row r="652">
      <c r="A652" s="37"/>
      <c r="B652" s="194"/>
      <c r="C652" s="198"/>
    </row>
    <row r="653">
      <c r="A653" s="37"/>
      <c r="B653" s="194"/>
      <c r="C653" s="198"/>
    </row>
    <row r="654">
      <c r="A654" s="37"/>
      <c r="B654" s="194"/>
      <c r="C654" s="198"/>
    </row>
    <row r="655">
      <c r="A655" s="37"/>
      <c r="B655" s="194"/>
      <c r="C655" s="198"/>
    </row>
    <row r="656">
      <c r="A656" s="37"/>
      <c r="B656" s="194"/>
      <c r="C656" s="198"/>
    </row>
    <row r="657">
      <c r="A657" s="37"/>
      <c r="B657" s="194"/>
      <c r="C657" s="198"/>
    </row>
    <row r="658">
      <c r="A658" s="37"/>
      <c r="B658" s="194"/>
      <c r="C658" s="198"/>
    </row>
    <row r="659">
      <c r="A659" s="37"/>
      <c r="B659" s="194"/>
      <c r="C659" s="198"/>
    </row>
    <row r="660">
      <c r="A660" s="37"/>
      <c r="B660" s="194"/>
      <c r="C660" s="198"/>
    </row>
    <row r="661">
      <c r="A661" s="37"/>
      <c r="B661" s="194"/>
      <c r="C661" s="198"/>
    </row>
    <row r="662">
      <c r="A662" s="37"/>
      <c r="B662" s="194"/>
      <c r="C662" s="198"/>
    </row>
    <row r="663">
      <c r="A663" s="37"/>
      <c r="B663" s="194"/>
      <c r="C663" s="198"/>
    </row>
    <row r="664">
      <c r="A664" s="37"/>
      <c r="B664" s="194"/>
      <c r="C664" s="198"/>
    </row>
    <row r="665">
      <c r="A665" s="37"/>
      <c r="B665" s="194"/>
      <c r="C665" s="198"/>
    </row>
    <row r="666">
      <c r="A666" s="37"/>
      <c r="B666" s="194"/>
      <c r="C666" s="198"/>
    </row>
    <row r="667">
      <c r="A667" s="37"/>
      <c r="B667" s="194"/>
      <c r="C667" s="198"/>
    </row>
    <row r="668">
      <c r="A668" s="37"/>
      <c r="B668" s="194"/>
      <c r="C668" s="198"/>
    </row>
    <row r="669">
      <c r="A669" s="37"/>
      <c r="B669" s="194"/>
      <c r="C669" s="198"/>
    </row>
    <row r="670">
      <c r="A670" s="37"/>
      <c r="B670" s="194"/>
      <c r="C670" s="198"/>
    </row>
    <row r="671">
      <c r="A671" s="37"/>
      <c r="B671" s="194"/>
      <c r="C671" s="198"/>
    </row>
    <row r="672">
      <c r="A672" s="37"/>
      <c r="B672" s="194"/>
      <c r="C672" s="198"/>
    </row>
    <row r="673">
      <c r="A673" s="37"/>
      <c r="B673" s="194"/>
      <c r="C673" s="198"/>
    </row>
    <row r="674">
      <c r="A674" s="37"/>
      <c r="B674" s="194"/>
      <c r="C674" s="198"/>
    </row>
    <row r="675">
      <c r="A675" s="37"/>
      <c r="B675" s="194"/>
      <c r="C675" s="198"/>
    </row>
    <row r="676">
      <c r="A676" s="37"/>
      <c r="B676" s="194"/>
      <c r="C676" s="198"/>
    </row>
    <row r="677">
      <c r="A677" s="37"/>
      <c r="B677" s="194"/>
      <c r="C677" s="198"/>
    </row>
    <row r="678">
      <c r="A678" s="37"/>
      <c r="B678" s="194"/>
      <c r="C678" s="198"/>
    </row>
    <row r="679">
      <c r="A679" s="37"/>
      <c r="B679" s="194"/>
      <c r="C679" s="198"/>
    </row>
    <row r="680">
      <c r="A680" s="37"/>
      <c r="B680" s="194"/>
      <c r="C680" s="198"/>
    </row>
    <row r="681">
      <c r="A681" s="37"/>
      <c r="B681" s="194"/>
      <c r="C681" s="198"/>
    </row>
    <row r="682">
      <c r="A682" s="37"/>
      <c r="B682" s="194"/>
      <c r="C682" s="198"/>
    </row>
    <row r="683">
      <c r="A683" s="37"/>
      <c r="B683" s="194"/>
      <c r="C683" s="198"/>
    </row>
    <row r="684">
      <c r="A684" s="37"/>
      <c r="B684" s="194"/>
      <c r="C684" s="198"/>
    </row>
    <row r="685">
      <c r="A685" s="37"/>
      <c r="B685" s="194"/>
      <c r="C685" s="198"/>
    </row>
    <row r="686">
      <c r="A686" s="37"/>
      <c r="B686" s="194"/>
      <c r="C686" s="198"/>
    </row>
    <row r="687">
      <c r="A687" s="37"/>
      <c r="B687" s="194"/>
      <c r="C687" s="198"/>
    </row>
    <row r="688">
      <c r="A688" s="37"/>
      <c r="B688" s="194"/>
      <c r="C688" s="198"/>
    </row>
    <row r="689">
      <c r="A689" s="37"/>
      <c r="B689" s="194"/>
      <c r="C689" s="198"/>
    </row>
    <row r="690">
      <c r="A690" s="37"/>
      <c r="B690" s="194"/>
      <c r="C690" s="198"/>
    </row>
    <row r="691">
      <c r="A691" s="37"/>
      <c r="B691" s="194"/>
      <c r="C691" s="198"/>
    </row>
    <row r="692">
      <c r="A692" s="37"/>
      <c r="B692" s="194"/>
      <c r="C692" s="198"/>
    </row>
    <row r="693">
      <c r="A693" s="37"/>
      <c r="B693" s="194"/>
      <c r="C693" s="198"/>
    </row>
    <row r="694">
      <c r="A694" s="37"/>
      <c r="B694" s="194"/>
      <c r="C694" s="198"/>
    </row>
    <row r="695">
      <c r="A695" s="37"/>
      <c r="B695" s="194"/>
      <c r="C695" s="198"/>
    </row>
    <row r="696">
      <c r="A696" s="37"/>
      <c r="B696" s="194"/>
      <c r="C696" s="198"/>
    </row>
    <row r="697">
      <c r="A697" s="37"/>
      <c r="B697" s="194"/>
      <c r="C697" s="198"/>
    </row>
    <row r="698">
      <c r="A698" s="37"/>
      <c r="B698" s="194"/>
      <c r="C698" s="198"/>
    </row>
    <row r="699">
      <c r="A699" s="37"/>
      <c r="B699" s="194"/>
      <c r="C699" s="198"/>
    </row>
    <row r="700">
      <c r="A700" s="37"/>
      <c r="B700" s="194"/>
      <c r="C700" s="198"/>
    </row>
    <row r="701">
      <c r="A701" s="37"/>
      <c r="B701" s="194"/>
      <c r="C701" s="198"/>
    </row>
    <row r="702">
      <c r="A702" s="37"/>
      <c r="B702" s="194"/>
      <c r="C702" s="198"/>
    </row>
    <row r="703">
      <c r="A703" s="37"/>
      <c r="B703" s="194"/>
      <c r="C703" s="198"/>
    </row>
    <row r="704">
      <c r="A704" s="37"/>
      <c r="B704" s="194"/>
      <c r="C704" s="198"/>
    </row>
    <row r="705">
      <c r="A705" s="37"/>
      <c r="B705" s="194"/>
      <c r="C705" s="198"/>
    </row>
    <row r="706">
      <c r="A706" s="37"/>
      <c r="B706" s="194"/>
      <c r="C706" s="198"/>
    </row>
    <row r="707">
      <c r="A707" s="37"/>
      <c r="B707" s="194"/>
      <c r="C707" s="198"/>
    </row>
    <row r="708">
      <c r="A708" s="37"/>
      <c r="B708" s="194"/>
      <c r="C708" s="198"/>
    </row>
    <row r="709">
      <c r="A709" s="37"/>
      <c r="B709" s="194"/>
      <c r="C709" s="198"/>
    </row>
    <row r="710">
      <c r="A710" s="37"/>
      <c r="B710" s="194"/>
      <c r="C710" s="198"/>
    </row>
    <row r="711">
      <c r="A711" s="37"/>
      <c r="B711" s="194"/>
      <c r="C711" s="198"/>
    </row>
    <row r="712">
      <c r="A712" s="37"/>
      <c r="B712" s="194"/>
      <c r="C712" s="198"/>
    </row>
    <row r="713">
      <c r="A713" s="37"/>
      <c r="B713" s="194"/>
      <c r="C713" s="198"/>
    </row>
    <row r="714">
      <c r="A714" s="37"/>
      <c r="B714" s="194"/>
      <c r="C714" s="198"/>
    </row>
    <row r="715">
      <c r="A715" s="37"/>
      <c r="B715" s="194"/>
      <c r="C715" s="198"/>
    </row>
    <row r="716">
      <c r="A716" s="37"/>
      <c r="B716" s="194"/>
      <c r="C716" s="198"/>
    </row>
    <row r="717">
      <c r="A717" s="37"/>
      <c r="B717" s="194"/>
      <c r="C717" s="198"/>
    </row>
    <row r="718">
      <c r="A718" s="37"/>
      <c r="B718" s="194"/>
      <c r="C718" s="198"/>
    </row>
    <row r="719">
      <c r="A719" s="37"/>
      <c r="B719" s="194"/>
      <c r="C719" s="198"/>
    </row>
    <row r="720">
      <c r="A720" s="37"/>
      <c r="B720" s="194"/>
      <c r="C720" s="198"/>
    </row>
    <row r="721">
      <c r="A721" s="37"/>
      <c r="B721" s="194"/>
      <c r="C721" s="198"/>
    </row>
    <row r="722">
      <c r="A722" s="37"/>
      <c r="B722" s="194"/>
      <c r="C722" s="198"/>
    </row>
    <row r="723">
      <c r="A723" s="37"/>
      <c r="B723" s="194"/>
      <c r="C723" s="198"/>
    </row>
    <row r="724">
      <c r="A724" s="37"/>
      <c r="B724" s="194"/>
      <c r="C724" s="198"/>
    </row>
    <row r="725">
      <c r="A725" s="37"/>
      <c r="B725" s="194"/>
      <c r="C725" s="198"/>
    </row>
    <row r="726">
      <c r="A726" s="37"/>
      <c r="B726" s="194"/>
      <c r="C726" s="198"/>
    </row>
    <row r="727">
      <c r="A727" s="37"/>
      <c r="B727" s="194"/>
      <c r="C727" s="198"/>
    </row>
    <row r="728">
      <c r="A728" s="37"/>
      <c r="B728" s="194"/>
      <c r="C728" s="198"/>
    </row>
    <row r="729">
      <c r="A729" s="37"/>
      <c r="B729" s="194"/>
      <c r="C729" s="198"/>
    </row>
    <row r="730">
      <c r="A730" s="37"/>
      <c r="B730" s="194"/>
      <c r="C730" s="198"/>
    </row>
    <row r="731">
      <c r="A731" s="37"/>
      <c r="B731" s="194"/>
      <c r="C731" s="198"/>
    </row>
    <row r="732">
      <c r="A732" s="37"/>
      <c r="B732" s="194"/>
      <c r="C732" s="198"/>
    </row>
    <row r="733">
      <c r="A733" s="37"/>
      <c r="B733" s="194"/>
      <c r="C733" s="198"/>
    </row>
    <row r="734">
      <c r="A734" s="37"/>
      <c r="B734" s="194"/>
      <c r="C734" s="198"/>
    </row>
    <row r="735">
      <c r="A735" s="37"/>
      <c r="B735" s="194"/>
      <c r="C735" s="198"/>
    </row>
    <row r="736">
      <c r="A736" s="37"/>
      <c r="B736" s="194"/>
      <c r="C736" s="198"/>
    </row>
    <row r="737">
      <c r="A737" s="37"/>
      <c r="B737" s="194"/>
      <c r="C737" s="198"/>
    </row>
    <row r="738">
      <c r="A738" s="37"/>
      <c r="B738" s="194"/>
      <c r="C738" s="198"/>
    </row>
    <row r="739">
      <c r="A739" s="37"/>
      <c r="B739" s="194"/>
      <c r="C739" s="198"/>
    </row>
    <row r="740">
      <c r="A740" s="37"/>
      <c r="B740" s="194"/>
      <c r="C740" s="198"/>
    </row>
    <row r="741">
      <c r="A741" s="37"/>
      <c r="B741" s="194"/>
      <c r="C741" s="198"/>
    </row>
    <row r="742">
      <c r="A742" s="37"/>
      <c r="B742" s="194"/>
      <c r="C742" s="198"/>
    </row>
    <row r="743">
      <c r="A743" s="37"/>
      <c r="B743" s="194"/>
      <c r="C743" s="198"/>
    </row>
    <row r="744">
      <c r="A744" s="37"/>
      <c r="B744" s="194"/>
      <c r="C744" s="198"/>
    </row>
    <row r="745">
      <c r="A745" s="37"/>
      <c r="B745" s="194"/>
      <c r="C745" s="198"/>
    </row>
    <row r="746">
      <c r="A746" s="37"/>
      <c r="B746" s="194"/>
      <c r="C746" s="198"/>
    </row>
    <row r="747">
      <c r="A747" s="37"/>
      <c r="B747" s="194"/>
      <c r="C747" s="198"/>
    </row>
    <row r="748">
      <c r="A748" s="37"/>
      <c r="B748" s="194"/>
      <c r="C748" s="198"/>
    </row>
    <row r="749">
      <c r="A749" s="37"/>
      <c r="B749" s="194"/>
      <c r="C749" s="198"/>
    </row>
    <row r="750">
      <c r="A750" s="37"/>
      <c r="B750" s="194"/>
      <c r="C750" s="198"/>
    </row>
    <row r="751">
      <c r="A751" s="37"/>
      <c r="B751" s="194"/>
      <c r="C751" s="198"/>
    </row>
    <row r="752">
      <c r="A752" s="37"/>
      <c r="B752" s="194"/>
      <c r="C752" s="198"/>
    </row>
    <row r="753">
      <c r="A753" s="37"/>
      <c r="B753" s="194"/>
      <c r="C753" s="198"/>
    </row>
    <row r="754">
      <c r="A754" s="37"/>
      <c r="B754" s="194"/>
      <c r="C754" s="198"/>
    </row>
    <row r="755">
      <c r="A755" s="37"/>
      <c r="B755" s="194"/>
      <c r="C755" s="198"/>
    </row>
    <row r="756">
      <c r="A756" s="37"/>
      <c r="B756" s="194"/>
      <c r="C756" s="198"/>
    </row>
    <row r="757">
      <c r="A757" s="37"/>
      <c r="B757" s="194"/>
      <c r="C757" s="198"/>
    </row>
    <row r="758">
      <c r="A758" s="37"/>
      <c r="B758" s="194"/>
      <c r="C758" s="198"/>
    </row>
    <row r="759">
      <c r="A759" s="37"/>
      <c r="B759" s="194"/>
      <c r="C759" s="198"/>
    </row>
    <row r="760">
      <c r="A760" s="37"/>
      <c r="B760" s="194"/>
      <c r="C760" s="198"/>
    </row>
    <row r="761">
      <c r="A761" s="37"/>
      <c r="B761" s="194"/>
      <c r="C761" s="198"/>
    </row>
    <row r="762">
      <c r="A762" s="37"/>
      <c r="B762" s="194"/>
      <c r="C762" s="198"/>
    </row>
    <row r="763">
      <c r="A763" s="37"/>
      <c r="B763" s="194"/>
      <c r="C763" s="198"/>
    </row>
    <row r="764">
      <c r="A764" s="37"/>
      <c r="B764" s="194"/>
      <c r="C764" s="198"/>
    </row>
    <row r="765">
      <c r="A765" s="37"/>
      <c r="B765" s="194"/>
      <c r="C765" s="198"/>
    </row>
    <row r="766">
      <c r="A766" s="37"/>
      <c r="B766" s="194"/>
      <c r="C766" s="198"/>
    </row>
    <row r="767">
      <c r="A767" s="37"/>
      <c r="B767" s="194"/>
      <c r="C767" s="198"/>
    </row>
    <row r="768">
      <c r="A768" s="37"/>
      <c r="B768" s="194"/>
      <c r="C768" s="198"/>
    </row>
    <row r="769">
      <c r="A769" s="37"/>
      <c r="B769" s="194"/>
      <c r="C769" s="198"/>
    </row>
    <row r="770">
      <c r="A770" s="37"/>
      <c r="B770" s="194"/>
      <c r="C770" s="198"/>
    </row>
    <row r="771">
      <c r="A771" s="37"/>
      <c r="B771" s="194"/>
      <c r="C771" s="198"/>
    </row>
    <row r="772">
      <c r="A772" s="37"/>
      <c r="B772" s="194"/>
      <c r="C772" s="198"/>
    </row>
    <row r="773">
      <c r="A773" s="37"/>
      <c r="B773" s="194"/>
      <c r="C773" s="198"/>
    </row>
    <row r="774">
      <c r="A774" s="37"/>
      <c r="B774" s="194"/>
      <c r="C774" s="198"/>
    </row>
    <row r="775">
      <c r="A775" s="37"/>
      <c r="B775" s="194"/>
      <c r="C775" s="198"/>
    </row>
    <row r="776">
      <c r="A776" s="37"/>
      <c r="B776" s="194"/>
      <c r="C776" s="198"/>
    </row>
    <row r="777">
      <c r="A777" s="37"/>
      <c r="B777" s="194"/>
      <c r="C777" s="198"/>
    </row>
    <row r="778">
      <c r="A778" s="37"/>
      <c r="B778" s="194"/>
      <c r="C778" s="198"/>
    </row>
    <row r="779">
      <c r="A779" s="37"/>
      <c r="B779" s="194"/>
      <c r="C779" s="198"/>
    </row>
    <row r="780">
      <c r="A780" s="37"/>
      <c r="B780" s="194"/>
      <c r="C780" s="198"/>
    </row>
    <row r="781">
      <c r="A781" s="37"/>
      <c r="B781" s="194"/>
      <c r="C781" s="198"/>
    </row>
    <row r="782">
      <c r="A782" s="37"/>
      <c r="B782" s="194"/>
      <c r="C782" s="198"/>
    </row>
    <row r="783">
      <c r="A783" s="37"/>
      <c r="B783" s="194"/>
      <c r="C783" s="198"/>
    </row>
    <row r="784">
      <c r="A784" s="37"/>
      <c r="B784" s="194"/>
      <c r="C784" s="198"/>
    </row>
    <row r="785">
      <c r="A785" s="37"/>
      <c r="B785" s="194"/>
      <c r="C785" s="198"/>
    </row>
    <row r="786">
      <c r="A786" s="37"/>
      <c r="B786" s="194"/>
      <c r="C786" s="198"/>
    </row>
    <row r="787">
      <c r="A787" s="37"/>
      <c r="B787" s="194"/>
      <c r="C787" s="198"/>
    </row>
    <row r="788">
      <c r="A788" s="37"/>
      <c r="B788" s="194"/>
      <c r="C788" s="198"/>
    </row>
    <row r="789">
      <c r="A789" s="37"/>
      <c r="B789" s="194"/>
      <c r="C789" s="198"/>
    </row>
    <row r="790">
      <c r="A790" s="37"/>
      <c r="B790" s="194"/>
      <c r="C790" s="198"/>
    </row>
    <row r="791">
      <c r="A791" s="37"/>
      <c r="B791" s="194"/>
      <c r="C791" s="198"/>
    </row>
    <row r="792">
      <c r="A792" s="37"/>
      <c r="B792" s="194"/>
      <c r="C792" s="198"/>
    </row>
    <row r="793">
      <c r="A793" s="37"/>
      <c r="B793" s="194"/>
      <c r="C793" s="198"/>
    </row>
    <row r="794">
      <c r="A794" s="37"/>
      <c r="B794" s="194"/>
      <c r="C794" s="198"/>
    </row>
    <row r="795">
      <c r="A795" s="37"/>
      <c r="B795" s="194"/>
      <c r="C795" s="198"/>
    </row>
    <row r="796">
      <c r="A796" s="37"/>
      <c r="B796" s="194"/>
      <c r="C796" s="198"/>
    </row>
    <row r="797">
      <c r="A797" s="37"/>
      <c r="B797" s="194"/>
      <c r="C797" s="198"/>
    </row>
    <row r="798">
      <c r="A798" s="37"/>
      <c r="B798" s="194"/>
      <c r="C798" s="198"/>
    </row>
    <row r="799">
      <c r="A799" s="37"/>
      <c r="B799" s="194"/>
      <c r="C799" s="198"/>
    </row>
    <row r="800">
      <c r="A800" s="37"/>
      <c r="B800" s="194"/>
      <c r="C800" s="198"/>
    </row>
    <row r="801">
      <c r="A801" s="37"/>
      <c r="B801" s="194"/>
      <c r="C801" s="198"/>
    </row>
    <row r="802">
      <c r="A802" s="37"/>
      <c r="B802" s="194"/>
      <c r="C802" s="198"/>
    </row>
    <row r="803">
      <c r="A803" s="37"/>
      <c r="B803" s="194"/>
      <c r="C803" s="198"/>
    </row>
    <row r="804">
      <c r="A804" s="37"/>
      <c r="B804" s="194"/>
      <c r="C804" s="198"/>
    </row>
    <row r="805">
      <c r="A805" s="37"/>
      <c r="B805" s="194"/>
      <c r="C805" s="198"/>
    </row>
    <row r="806">
      <c r="A806" s="37"/>
      <c r="B806" s="194"/>
      <c r="C806" s="198"/>
    </row>
    <row r="807">
      <c r="A807" s="37"/>
      <c r="B807" s="194"/>
      <c r="C807" s="198"/>
    </row>
    <row r="808">
      <c r="A808" s="37"/>
      <c r="B808" s="194"/>
      <c r="C808" s="198"/>
    </row>
    <row r="809">
      <c r="A809" s="37"/>
      <c r="B809" s="194"/>
      <c r="C809" s="198"/>
    </row>
    <row r="810">
      <c r="A810" s="37"/>
      <c r="B810" s="194"/>
      <c r="C810" s="198"/>
    </row>
    <row r="811">
      <c r="A811" s="37"/>
      <c r="B811" s="194"/>
      <c r="C811" s="198"/>
    </row>
    <row r="812">
      <c r="A812" s="37"/>
      <c r="B812" s="194"/>
      <c r="C812" s="198"/>
    </row>
    <row r="813">
      <c r="A813" s="37"/>
      <c r="B813" s="194"/>
      <c r="C813" s="198"/>
    </row>
    <row r="814">
      <c r="A814" s="37"/>
      <c r="B814" s="194"/>
      <c r="C814" s="198"/>
    </row>
    <row r="815">
      <c r="A815" s="37"/>
      <c r="B815" s="194"/>
      <c r="C815" s="198"/>
    </row>
    <row r="816">
      <c r="A816" s="37"/>
      <c r="B816" s="194"/>
      <c r="C816" s="198"/>
    </row>
    <row r="817">
      <c r="A817" s="37"/>
      <c r="B817" s="194"/>
      <c r="C817" s="198"/>
    </row>
    <row r="818">
      <c r="A818" s="37"/>
      <c r="B818" s="194"/>
      <c r="C818" s="198"/>
    </row>
    <row r="819">
      <c r="A819" s="37"/>
      <c r="B819" s="194"/>
      <c r="C819" s="198"/>
    </row>
    <row r="820">
      <c r="A820" s="37"/>
      <c r="B820" s="194"/>
      <c r="C820" s="198"/>
    </row>
    <row r="821">
      <c r="A821" s="37"/>
      <c r="B821" s="194"/>
      <c r="C821" s="198"/>
    </row>
    <row r="822">
      <c r="A822" s="37"/>
      <c r="B822" s="194"/>
      <c r="C822" s="198"/>
    </row>
    <row r="823">
      <c r="A823" s="37"/>
      <c r="B823" s="194"/>
      <c r="C823" s="198"/>
    </row>
    <row r="824">
      <c r="A824" s="37"/>
      <c r="B824" s="194"/>
      <c r="C824" s="198"/>
    </row>
    <row r="825">
      <c r="A825" s="37"/>
      <c r="B825" s="194"/>
      <c r="C825" s="198"/>
    </row>
    <row r="826">
      <c r="A826" s="37"/>
      <c r="B826" s="194"/>
      <c r="C826" s="198"/>
    </row>
    <row r="827">
      <c r="A827" s="37"/>
      <c r="B827" s="194"/>
      <c r="C827" s="198"/>
    </row>
    <row r="828">
      <c r="A828" s="37"/>
      <c r="B828" s="194"/>
      <c r="C828" s="198"/>
    </row>
    <row r="829">
      <c r="A829" s="37"/>
      <c r="B829" s="194"/>
      <c r="C829" s="198"/>
    </row>
    <row r="830">
      <c r="A830" s="37"/>
      <c r="B830" s="194"/>
      <c r="C830" s="198"/>
    </row>
    <row r="831">
      <c r="A831" s="37"/>
      <c r="B831" s="194"/>
      <c r="C831" s="198"/>
    </row>
    <row r="832">
      <c r="A832" s="37"/>
      <c r="B832" s="194"/>
      <c r="C832" s="198"/>
    </row>
    <row r="833">
      <c r="A833" s="37"/>
      <c r="B833" s="194"/>
      <c r="C833" s="198"/>
    </row>
    <row r="834">
      <c r="A834" s="37"/>
      <c r="B834" s="194"/>
      <c r="C834" s="198"/>
    </row>
    <row r="835">
      <c r="A835" s="37"/>
      <c r="B835" s="194"/>
      <c r="C835" s="198"/>
    </row>
    <row r="836">
      <c r="A836" s="37"/>
      <c r="B836" s="194"/>
      <c r="C836" s="198"/>
    </row>
    <row r="837">
      <c r="A837" s="37"/>
      <c r="B837" s="194"/>
      <c r="C837" s="198"/>
    </row>
    <row r="838">
      <c r="A838" s="37"/>
      <c r="B838" s="194"/>
      <c r="C838" s="198"/>
    </row>
    <row r="839">
      <c r="A839" s="37"/>
      <c r="B839" s="194"/>
      <c r="C839" s="198"/>
    </row>
    <row r="840">
      <c r="A840" s="37"/>
      <c r="B840" s="194"/>
      <c r="C840" s="198"/>
    </row>
    <row r="841">
      <c r="A841" s="37"/>
      <c r="B841" s="194"/>
      <c r="C841" s="198"/>
    </row>
    <row r="842">
      <c r="A842" s="37"/>
      <c r="B842" s="194"/>
      <c r="C842" s="198"/>
    </row>
    <row r="843">
      <c r="A843" s="37"/>
      <c r="B843" s="194"/>
      <c r="C843" s="198"/>
    </row>
    <row r="844">
      <c r="A844" s="37"/>
      <c r="B844" s="194"/>
      <c r="C844" s="198"/>
    </row>
    <row r="845">
      <c r="A845" s="37"/>
      <c r="B845" s="194"/>
      <c r="C845" s="198"/>
    </row>
    <row r="846">
      <c r="A846" s="37"/>
      <c r="B846" s="194"/>
      <c r="C846" s="198"/>
    </row>
    <row r="847">
      <c r="A847" s="37"/>
      <c r="B847" s="194"/>
      <c r="C847" s="198"/>
    </row>
    <row r="848">
      <c r="A848" s="37"/>
      <c r="B848" s="194"/>
      <c r="C848" s="198"/>
    </row>
    <row r="849">
      <c r="A849" s="37"/>
      <c r="B849" s="194"/>
      <c r="C849" s="198"/>
    </row>
    <row r="850">
      <c r="A850" s="37"/>
      <c r="B850" s="194"/>
      <c r="C850" s="198"/>
    </row>
    <row r="851">
      <c r="A851" s="37"/>
      <c r="B851" s="194"/>
      <c r="C851" s="198"/>
    </row>
    <row r="852">
      <c r="A852" s="37"/>
      <c r="B852" s="194"/>
      <c r="C852" s="198"/>
    </row>
    <row r="853">
      <c r="A853" s="37"/>
      <c r="B853" s="194"/>
      <c r="C853" s="198"/>
    </row>
    <row r="854">
      <c r="A854" s="37"/>
      <c r="B854" s="194"/>
      <c r="C854" s="198"/>
    </row>
    <row r="855">
      <c r="A855" s="37"/>
      <c r="B855" s="194"/>
      <c r="C855" s="198"/>
    </row>
    <row r="856">
      <c r="A856" s="37"/>
      <c r="B856" s="194"/>
      <c r="C856" s="198"/>
    </row>
    <row r="857">
      <c r="A857" s="37"/>
      <c r="B857" s="194"/>
      <c r="C857" s="198"/>
    </row>
    <row r="858">
      <c r="A858" s="37"/>
      <c r="B858" s="194"/>
      <c r="C858" s="198"/>
    </row>
    <row r="859">
      <c r="A859" s="37"/>
      <c r="B859" s="194"/>
      <c r="C859" s="198"/>
    </row>
    <row r="860">
      <c r="A860" s="37"/>
      <c r="B860" s="194"/>
      <c r="C860" s="198"/>
    </row>
    <row r="861">
      <c r="A861" s="37"/>
      <c r="B861" s="194"/>
      <c r="C861" s="198"/>
    </row>
    <row r="862">
      <c r="A862" s="37"/>
      <c r="B862" s="194"/>
      <c r="C862" s="198"/>
    </row>
    <row r="863">
      <c r="A863" s="37"/>
      <c r="B863" s="194"/>
      <c r="C863" s="198"/>
    </row>
    <row r="864">
      <c r="A864" s="37"/>
      <c r="B864" s="194"/>
      <c r="C864" s="198"/>
    </row>
    <row r="865">
      <c r="A865" s="37"/>
      <c r="B865" s="194"/>
      <c r="C865" s="198"/>
    </row>
    <row r="866">
      <c r="A866" s="37"/>
      <c r="B866" s="194"/>
      <c r="C866" s="198"/>
    </row>
    <row r="867">
      <c r="A867" s="37"/>
      <c r="B867" s="194"/>
      <c r="C867" s="198"/>
    </row>
    <row r="868">
      <c r="A868" s="37"/>
      <c r="B868" s="194"/>
      <c r="C868" s="198"/>
    </row>
    <row r="869">
      <c r="A869" s="37"/>
      <c r="B869" s="194"/>
      <c r="C869" s="198"/>
    </row>
    <row r="870">
      <c r="A870" s="37"/>
      <c r="B870" s="194"/>
      <c r="C870" s="198"/>
    </row>
    <row r="871">
      <c r="A871" s="37"/>
      <c r="B871" s="194"/>
      <c r="C871" s="198"/>
    </row>
    <row r="872">
      <c r="A872" s="37"/>
      <c r="B872" s="194"/>
      <c r="C872" s="198"/>
    </row>
    <row r="873">
      <c r="A873" s="37"/>
      <c r="B873" s="194"/>
      <c r="C873" s="198"/>
    </row>
    <row r="874">
      <c r="A874" s="37"/>
      <c r="B874" s="194"/>
      <c r="C874" s="198"/>
    </row>
    <row r="875">
      <c r="A875" s="37"/>
      <c r="B875" s="194"/>
      <c r="C875" s="198"/>
    </row>
    <row r="876">
      <c r="A876" s="37"/>
      <c r="B876" s="194"/>
      <c r="C876" s="198"/>
    </row>
    <row r="877">
      <c r="A877" s="37"/>
      <c r="B877" s="194"/>
      <c r="C877" s="198"/>
    </row>
    <row r="878">
      <c r="A878" s="37"/>
      <c r="B878" s="194"/>
      <c r="C878" s="198"/>
    </row>
    <row r="879">
      <c r="A879" s="37"/>
      <c r="B879" s="194"/>
      <c r="C879" s="198"/>
    </row>
    <row r="880">
      <c r="A880" s="37"/>
      <c r="B880" s="194"/>
      <c r="C880" s="198"/>
    </row>
    <row r="881">
      <c r="A881" s="37"/>
      <c r="B881" s="194"/>
      <c r="C881" s="198"/>
    </row>
    <row r="882">
      <c r="A882" s="37"/>
      <c r="B882" s="194"/>
      <c r="C882" s="198"/>
    </row>
    <row r="883">
      <c r="A883" s="37"/>
      <c r="B883" s="194"/>
      <c r="C883" s="198"/>
    </row>
    <row r="884">
      <c r="A884" s="37"/>
      <c r="B884" s="194"/>
      <c r="C884" s="198"/>
    </row>
    <row r="885">
      <c r="A885" s="37"/>
      <c r="B885" s="194"/>
      <c r="C885" s="198"/>
    </row>
    <row r="886">
      <c r="A886" s="37"/>
      <c r="B886" s="194"/>
      <c r="C886" s="198"/>
    </row>
    <row r="887">
      <c r="A887" s="37"/>
      <c r="B887" s="194"/>
      <c r="C887" s="198"/>
    </row>
    <row r="888">
      <c r="A888" s="37"/>
      <c r="B888" s="194"/>
      <c r="C888" s="198"/>
    </row>
    <row r="889">
      <c r="A889" s="37"/>
      <c r="B889" s="194"/>
      <c r="C889" s="198"/>
    </row>
    <row r="890">
      <c r="A890" s="37"/>
      <c r="B890" s="194"/>
      <c r="C890" s="198"/>
    </row>
    <row r="891">
      <c r="A891" s="37"/>
      <c r="B891" s="194"/>
      <c r="C891" s="198"/>
    </row>
    <row r="892">
      <c r="A892" s="37"/>
      <c r="B892" s="194"/>
      <c r="C892" s="198"/>
    </row>
    <row r="893">
      <c r="A893" s="37"/>
      <c r="B893" s="194"/>
      <c r="C893" s="198"/>
    </row>
    <row r="894">
      <c r="A894" s="37"/>
      <c r="B894" s="194"/>
      <c r="C894" s="198"/>
    </row>
    <row r="895">
      <c r="A895" s="37"/>
      <c r="B895" s="194"/>
      <c r="C895" s="198"/>
    </row>
    <row r="896">
      <c r="A896" s="37"/>
      <c r="B896" s="194"/>
      <c r="C896" s="198"/>
    </row>
    <row r="897">
      <c r="A897" s="37"/>
      <c r="B897" s="194"/>
      <c r="C897" s="198"/>
    </row>
    <row r="898">
      <c r="A898" s="37"/>
      <c r="B898" s="194"/>
      <c r="C898" s="198"/>
    </row>
    <row r="899">
      <c r="A899" s="37"/>
      <c r="B899" s="194"/>
      <c r="C899" s="198"/>
    </row>
    <row r="900">
      <c r="A900" s="37"/>
      <c r="B900" s="194"/>
      <c r="C900" s="198"/>
    </row>
    <row r="901">
      <c r="A901" s="37"/>
      <c r="B901" s="194"/>
      <c r="C901" s="198"/>
    </row>
    <row r="902">
      <c r="A902" s="37"/>
      <c r="B902" s="194"/>
      <c r="C902" s="198"/>
    </row>
    <row r="903">
      <c r="A903" s="37"/>
      <c r="B903" s="194"/>
      <c r="C903" s="198"/>
    </row>
    <row r="904">
      <c r="A904" s="37"/>
      <c r="B904" s="194"/>
      <c r="C904" s="198"/>
    </row>
    <row r="905">
      <c r="A905" s="37"/>
      <c r="B905" s="194"/>
      <c r="C905" s="198"/>
    </row>
    <row r="906">
      <c r="A906" s="37"/>
      <c r="B906" s="194"/>
      <c r="C906" s="198"/>
    </row>
    <row r="907">
      <c r="A907" s="37"/>
      <c r="B907" s="194"/>
      <c r="C907" s="198"/>
    </row>
    <row r="908">
      <c r="A908" s="37"/>
      <c r="B908" s="194"/>
      <c r="C908" s="198"/>
    </row>
    <row r="909">
      <c r="A909" s="37"/>
      <c r="B909" s="194"/>
      <c r="C909" s="198"/>
    </row>
    <row r="910">
      <c r="A910" s="37"/>
      <c r="B910" s="194"/>
      <c r="C910" s="198"/>
    </row>
    <row r="911">
      <c r="A911" s="37"/>
      <c r="B911" s="194"/>
      <c r="C911" s="198"/>
    </row>
    <row r="912">
      <c r="A912" s="37"/>
      <c r="B912" s="194"/>
      <c r="C912" s="198"/>
    </row>
    <row r="913">
      <c r="A913" s="37"/>
      <c r="B913" s="194"/>
      <c r="C913" s="198"/>
    </row>
    <row r="914">
      <c r="A914" s="37"/>
      <c r="B914" s="194"/>
      <c r="C914" s="198"/>
    </row>
    <row r="915">
      <c r="A915" s="37"/>
      <c r="B915" s="194"/>
      <c r="C915" s="198"/>
    </row>
    <row r="916">
      <c r="A916" s="37"/>
      <c r="B916" s="194"/>
      <c r="C916" s="198"/>
    </row>
    <row r="917">
      <c r="A917" s="37"/>
      <c r="B917" s="194"/>
      <c r="C917" s="198"/>
    </row>
    <row r="918">
      <c r="A918" s="37"/>
      <c r="B918" s="194"/>
      <c r="C918" s="198"/>
    </row>
    <row r="919">
      <c r="A919" s="37"/>
      <c r="B919" s="194"/>
      <c r="C919" s="198"/>
    </row>
    <row r="920">
      <c r="A920" s="37"/>
      <c r="B920" s="194"/>
      <c r="C920" s="198"/>
    </row>
    <row r="921">
      <c r="A921" s="37"/>
      <c r="B921" s="194"/>
      <c r="C921" s="198"/>
    </row>
    <row r="922">
      <c r="A922" s="37"/>
      <c r="B922" s="194"/>
      <c r="C922" s="198"/>
    </row>
    <row r="923">
      <c r="A923" s="37"/>
      <c r="B923" s="194"/>
      <c r="C923" s="198"/>
    </row>
    <row r="924">
      <c r="A924" s="37"/>
      <c r="B924" s="194"/>
      <c r="C924" s="198"/>
    </row>
    <row r="925">
      <c r="A925" s="37"/>
      <c r="B925" s="194"/>
      <c r="C925" s="198"/>
    </row>
    <row r="926">
      <c r="A926" s="37"/>
      <c r="B926" s="194"/>
      <c r="C926" s="198"/>
    </row>
    <row r="927">
      <c r="A927" s="37"/>
      <c r="B927" s="194"/>
      <c r="C927" s="198"/>
    </row>
    <row r="928">
      <c r="A928" s="37"/>
      <c r="B928" s="194"/>
      <c r="C928" s="198"/>
    </row>
    <row r="929">
      <c r="A929" s="37"/>
      <c r="B929" s="194"/>
      <c r="C929" s="198"/>
    </row>
    <row r="930">
      <c r="A930" s="37"/>
      <c r="B930" s="194"/>
      <c r="C930" s="198"/>
    </row>
    <row r="931">
      <c r="A931" s="37"/>
      <c r="B931" s="194"/>
      <c r="C931" s="198"/>
    </row>
    <row r="932">
      <c r="A932" s="37"/>
      <c r="B932" s="194"/>
      <c r="C932" s="198"/>
    </row>
    <row r="933">
      <c r="A933" s="37"/>
      <c r="B933" s="194"/>
      <c r="C933" s="198"/>
    </row>
    <row r="934">
      <c r="A934" s="37"/>
      <c r="B934" s="194"/>
      <c r="C934" s="198"/>
    </row>
    <row r="935">
      <c r="A935" s="37"/>
      <c r="B935" s="194"/>
      <c r="C935" s="198"/>
    </row>
    <row r="936">
      <c r="A936" s="37"/>
      <c r="B936" s="194"/>
      <c r="C936" s="198"/>
    </row>
    <row r="937">
      <c r="A937" s="37"/>
      <c r="B937" s="194"/>
      <c r="C937" s="198"/>
    </row>
    <row r="938">
      <c r="A938" s="37"/>
      <c r="B938" s="194"/>
      <c r="C938" s="198"/>
    </row>
    <row r="939">
      <c r="A939" s="37"/>
      <c r="B939" s="194"/>
      <c r="C939" s="198"/>
    </row>
    <row r="940">
      <c r="A940" s="37"/>
      <c r="B940" s="194"/>
      <c r="C940" s="198"/>
    </row>
    <row r="941">
      <c r="A941" s="37"/>
      <c r="B941" s="194"/>
      <c r="C941" s="198"/>
    </row>
    <row r="942">
      <c r="A942" s="37"/>
      <c r="B942" s="194"/>
      <c r="C942" s="198"/>
    </row>
    <row r="943">
      <c r="A943" s="37"/>
      <c r="B943" s="194"/>
      <c r="C943" s="198"/>
    </row>
    <row r="944">
      <c r="A944" s="37"/>
      <c r="B944" s="194"/>
      <c r="C944" s="198"/>
    </row>
    <row r="945">
      <c r="A945" s="37"/>
      <c r="B945" s="194"/>
      <c r="C945" s="198"/>
    </row>
    <row r="946">
      <c r="A946" s="37"/>
      <c r="B946" s="194"/>
      <c r="C946" s="198"/>
    </row>
    <row r="947">
      <c r="A947" s="37"/>
      <c r="B947" s="194"/>
      <c r="C947" s="198"/>
    </row>
    <row r="948">
      <c r="A948" s="37"/>
      <c r="B948" s="194"/>
      <c r="C948" s="198"/>
    </row>
    <row r="949">
      <c r="A949" s="37"/>
      <c r="B949" s="194"/>
      <c r="C949" s="198"/>
    </row>
    <row r="950">
      <c r="A950" s="37"/>
      <c r="B950" s="194"/>
      <c r="C950" s="198"/>
    </row>
    <row r="951">
      <c r="A951" s="37"/>
      <c r="B951" s="194"/>
      <c r="C951" s="198"/>
    </row>
    <row r="952">
      <c r="A952" s="37"/>
      <c r="B952" s="194"/>
      <c r="C952" s="198"/>
    </row>
    <row r="953">
      <c r="A953" s="37"/>
      <c r="B953" s="194"/>
      <c r="C953" s="198"/>
    </row>
    <row r="954">
      <c r="A954" s="37"/>
      <c r="B954" s="194"/>
      <c r="C954" s="198"/>
    </row>
    <row r="955">
      <c r="A955" s="37"/>
      <c r="B955" s="194"/>
      <c r="C955" s="198"/>
    </row>
    <row r="956">
      <c r="A956" s="37"/>
      <c r="B956" s="194"/>
      <c r="C956" s="198"/>
    </row>
    <row r="957">
      <c r="A957" s="37"/>
      <c r="B957" s="194"/>
      <c r="C957" s="198"/>
    </row>
    <row r="958">
      <c r="A958" s="37"/>
      <c r="B958" s="194"/>
      <c r="C958" s="198"/>
    </row>
    <row r="959">
      <c r="A959" s="37"/>
      <c r="B959" s="194"/>
      <c r="C959" s="198"/>
    </row>
    <row r="960">
      <c r="A960" s="37"/>
      <c r="B960" s="194"/>
      <c r="C960" s="198"/>
    </row>
    <row r="961">
      <c r="A961" s="37"/>
      <c r="B961" s="194"/>
      <c r="C961" s="198"/>
    </row>
    <row r="962">
      <c r="A962" s="37"/>
      <c r="B962" s="194"/>
      <c r="C962" s="198"/>
    </row>
    <row r="963">
      <c r="A963" s="37"/>
      <c r="B963" s="194"/>
      <c r="C963" s="198"/>
    </row>
    <row r="964">
      <c r="A964" s="37"/>
      <c r="B964" s="194"/>
      <c r="C964" s="198"/>
    </row>
    <row r="965">
      <c r="A965" s="37"/>
      <c r="B965" s="194"/>
      <c r="C965" s="198"/>
    </row>
    <row r="966">
      <c r="A966" s="37"/>
      <c r="B966" s="194"/>
      <c r="C966" s="198"/>
    </row>
    <row r="967">
      <c r="A967" s="37"/>
      <c r="B967" s="194"/>
      <c r="C967" s="198"/>
    </row>
    <row r="968">
      <c r="A968" s="37"/>
      <c r="B968" s="194"/>
      <c r="C968" s="198"/>
    </row>
    <row r="969">
      <c r="A969" s="37"/>
      <c r="B969" s="194"/>
      <c r="C969" s="198"/>
    </row>
    <row r="970">
      <c r="A970" s="37"/>
      <c r="B970" s="194"/>
      <c r="C970" s="198"/>
    </row>
    <row r="971">
      <c r="A971" s="37"/>
      <c r="B971" s="194"/>
      <c r="C971" s="198"/>
    </row>
    <row r="972">
      <c r="A972" s="37"/>
      <c r="B972" s="194"/>
      <c r="C972" s="198"/>
    </row>
    <row r="973">
      <c r="A973" s="37"/>
      <c r="B973" s="194"/>
      <c r="C973" s="198"/>
    </row>
    <row r="974">
      <c r="A974" s="37"/>
      <c r="B974" s="194"/>
      <c r="C974" s="198"/>
    </row>
    <row r="975">
      <c r="A975" s="37"/>
      <c r="B975" s="194"/>
      <c r="C975" s="198"/>
    </row>
    <row r="976">
      <c r="A976" s="37"/>
      <c r="B976" s="194"/>
      <c r="C976" s="198"/>
    </row>
    <row r="977">
      <c r="A977" s="37"/>
      <c r="B977" s="194"/>
      <c r="C977" s="198"/>
    </row>
    <row r="978">
      <c r="A978" s="37"/>
      <c r="B978" s="194"/>
      <c r="C978" s="198"/>
    </row>
    <row r="979">
      <c r="A979" s="37"/>
      <c r="B979" s="194"/>
      <c r="C979" s="198"/>
    </row>
    <row r="980">
      <c r="A980" s="37"/>
      <c r="B980" s="194"/>
      <c r="C980" s="198"/>
    </row>
    <row r="981">
      <c r="B981" s="129"/>
      <c r="C981" s="129"/>
    </row>
  </sheetData>
  <mergeCells count="53">
    <mergeCell ref="A1:C1"/>
    <mergeCell ref="A2:C2"/>
    <mergeCell ref="A3:C3"/>
    <mergeCell ref="A4:C4"/>
    <mergeCell ref="A5:B5"/>
    <mergeCell ref="A6:B6"/>
    <mergeCell ref="A7:B7"/>
    <mergeCell ref="A8:C8"/>
    <mergeCell ref="A9:B9"/>
    <mergeCell ref="A10:C10"/>
    <mergeCell ref="A12:C12"/>
    <mergeCell ref="A13:B13"/>
    <mergeCell ref="A14:B14"/>
    <mergeCell ref="A15:B15"/>
    <mergeCell ref="A16:C16"/>
    <mergeCell ref="A17:C17"/>
    <mergeCell ref="A18:B18"/>
    <mergeCell ref="A19:B19"/>
    <mergeCell ref="A20:B20"/>
    <mergeCell ref="A21:C21"/>
    <mergeCell ref="A23:B23"/>
    <mergeCell ref="A26:C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8:B48"/>
    <mergeCell ref="A49:B49"/>
    <mergeCell ref="A50:B50"/>
    <mergeCell ref="A51:B51"/>
    <mergeCell ref="A52:B52"/>
    <mergeCell ref="A53:B53"/>
    <mergeCell ref="A56:C56"/>
    <mergeCell ref="A57:B57"/>
    <mergeCell ref="A78:B78"/>
    <mergeCell ref="A100:C100"/>
    <mergeCell ref="A101:B101"/>
    <mergeCell ref="A41:B41"/>
    <mergeCell ref="A42:B42"/>
    <mergeCell ref="A43:B43"/>
    <mergeCell ref="A44:B44"/>
    <mergeCell ref="A45:B45"/>
    <mergeCell ref="A46:B46"/>
    <mergeCell ref="A47:B4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9.88"/>
    <col customWidth="1" min="3" max="3" width="9.13"/>
  </cols>
  <sheetData>
    <row r="1">
      <c r="A1" s="155" t="s">
        <v>141</v>
      </c>
      <c r="B1" s="148"/>
      <c r="C1" s="148"/>
    </row>
    <row r="2">
      <c r="A2" s="156">
        <f>C7</f>
        <v>2100</v>
      </c>
      <c r="B2" s="148"/>
      <c r="C2" s="58"/>
    </row>
    <row r="3">
      <c r="A3" s="157"/>
    </row>
    <row r="4">
      <c r="A4" s="158" t="s">
        <v>138</v>
      </c>
    </row>
    <row r="5">
      <c r="A5" s="159" t="s">
        <v>145</v>
      </c>
      <c r="B5" s="148"/>
      <c r="C5" s="160">
        <f>C89</f>
        <v>2000</v>
      </c>
    </row>
    <row r="6">
      <c r="A6" s="159" t="s">
        <v>147</v>
      </c>
      <c r="B6" s="148"/>
      <c r="C6" s="160">
        <f>C11</f>
        <v>100</v>
      </c>
    </row>
    <row r="7">
      <c r="A7" s="147" t="s">
        <v>142</v>
      </c>
      <c r="B7" s="148"/>
      <c r="C7" s="161">
        <f>C5+C6</f>
        <v>2100</v>
      </c>
    </row>
    <row r="8">
      <c r="B8" s="129"/>
      <c r="C8" s="129"/>
    </row>
    <row r="9">
      <c r="B9" s="129"/>
      <c r="C9" s="129"/>
    </row>
    <row r="10">
      <c r="A10" s="171" t="s">
        <v>151</v>
      </c>
      <c r="B10" s="148"/>
      <c r="C10" s="58"/>
    </row>
    <row r="11">
      <c r="A11" s="173" t="s">
        <v>153</v>
      </c>
      <c r="B11" s="10"/>
      <c r="C11" s="177">
        <f>B12-C12</f>
        <v>100</v>
      </c>
    </row>
    <row r="12">
      <c r="A12" s="178" t="s">
        <v>156</v>
      </c>
      <c r="B12" s="179">
        <f t="shared" ref="B12:C12" si="1">SUM(B14:B85)</f>
        <v>3000</v>
      </c>
      <c r="C12" s="179">
        <f t="shared" si="1"/>
        <v>2900</v>
      </c>
    </row>
    <row r="13">
      <c r="A13" s="3" t="s">
        <v>157</v>
      </c>
      <c r="B13" s="181" t="s">
        <v>158</v>
      </c>
      <c r="C13" s="181" t="s">
        <v>160</v>
      </c>
    </row>
    <row r="14">
      <c r="A14" s="182" t="s">
        <v>161</v>
      </c>
      <c r="B14" s="183">
        <v>1000.0</v>
      </c>
      <c r="C14" s="185"/>
    </row>
    <row r="15">
      <c r="A15" s="187" t="s">
        <v>162</v>
      </c>
      <c r="B15" s="153"/>
      <c r="C15" s="188">
        <v>300.0</v>
      </c>
    </row>
    <row r="16">
      <c r="A16" s="187" t="s">
        <v>164</v>
      </c>
      <c r="B16" s="153"/>
      <c r="C16" s="188">
        <v>200.0</v>
      </c>
    </row>
    <row r="17">
      <c r="A17" s="187" t="s">
        <v>166</v>
      </c>
      <c r="B17" s="153"/>
      <c r="C17" s="188">
        <v>500.0</v>
      </c>
    </row>
    <row r="18">
      <c r="A18" s="187" t="s">
        <v>167</v>
      </c>
      <c r="B18" s="153">
        <v>1000.0</v>
      </c>
      <c r="C18" s="188"/>
    </row>
    <row r="19">
      <c r="A19" s="187" t="s">
        <v>166</v>
      </c>
      <c r="B19" s="153"/>
      <c r="C19" s="188">
        <v>250.0</v>
      </c>
    </row>
    <row r="20">
      <c r="A20" s="187" t="s">
        <v>166</v>
      </c>
      <c r="B20" s="183"/>
      <c r="C20" s="120">
        <v>100.0</v>
      </c>
    </row>
    <row r="21">
      <c r="A21" s="187" t="s">
        <v>169</v>
      </c>
      <c r="B21" s="153"/>
      <c r="C21" s="120">
        <v>50.0</v>
      </c>
    </row>
    <row r="22">
      <c r="A22" s="187" t="s">
        <v>170</v>
      </c>
      <c r="B22" s="153"/>
      <c r="C22" s="120">
        <v>200.0</v>
      </c>
    </row>
    <row r="23">
      <c r="A23" s="187" t="s">
        <v>171</v>
      </c>
      <c r="B23" s="153"/>
      <c r="C23" s="120">
        <v>500.0</v>
      </c>
    </row>
    <row r="24">
      <c r="A24" s="187" t="s">
        <v>173</v>
      </c>
      <c r="B24" s="153">
        <v>1000.0</v>
      </c>
      <c r="C24" s="188"/>
    </row>
    <row r="25">
      <c r="A25" s="187" t="s">
        <v>174</v>
      </c>
      <c r="B25" s="153"/>
      <c r="C25" s="188">
        <v>800.0</v>
      </c>
    </row>
    <row r="26">
      <c r="A26" s="187"/>
      <c r="B26" s="153"/>
      <c r="C26" s="194"/>
    </row>
    <row r="27">
      <c r="A27" s="196"/>
      <c r="B27" s="198"/>
      <c r="C27" s="194"/>
    </row>
    <row r="28">
      <c r="A28" s="187"/>
      <c r="B28" s="198"/>
      <c r="C28" s="194"/>
    </row>
    <row r="29">
      <c r="A29" s="187"/>
      <c r="B29" s="198"/>
      <c r="C29" s="194"/>
    </row>
    <row r="30">
      <c r="A30" s="196"/>
      <c r="B30" s="198"/>
      <c r="C30" s="194"/>
    </row>
    <row r="31">
      <c r="A31" s="196"/>
      <c r="B31" s="198"/>
      <c r="C31" s="194"/>
    </row>
    <row r="32">
      <c r="A32" s="196"/>
      <c r="B32" s="201"/>
      <c r="C32" s="194"/>
    </row>
    <row r="33">
      <c r="A33" s="196"/>
      <c r="B33" s="201"/>
      <c r="C33" s="194"/>
    </row>
    <row r="34">
      <c r="A34" s="187"/>
      <c r="B34" s="183"/>
      <c r="C34" s="185"/>
    </row>
    <row r="35">
      <c r="A35" s="187"/>
      <c r="B35" s="153"/>
      <c r="C35" s="188"/>
    </row>
    <row r="36">
      <c r="A36" s="196"/>
      <c r="B36" s="201"/>
      <c r="C36" s="194"/>
    </row>
    <row r="37">
      <c r="A37" s="196"/>
      <c r="B37" s="201"/>
      <c r="C37" s="194"/>
    </row>
    <row r="38">
      <c r="A38" s="196"/>
      <c r="B38" s="201"/>
      <c r="C38" s="194"/>
    </row>
    <row r="39">
      <c r="A39" s="196"/>
      <c r="B39" s="201"/>
      <c r="C39" s="194"/>
    </row>
    <row r="40">
      <c r="A40" s="196"/>
      <c r="B40" s="201"/>
      <c r="C40" s="194"/>
    </row>
    <row r="41">
      <c r="A41" s="196"/>
      <c r="B41" s="201"/>
      <c r="C41" s="194"/>
    </row>
    <row r="42">
      <c r="A42" s="196"/>
      <c r="B42" s="201"/>
      <c r="C42" s="194"/>
    </row>
    <row r="43">
      <c r="A43" s="196"/>
      <c r="B43" s="201"/>
      <c r="C43" s="194"/>
    </row>
    <row r="44">
      <c r="A44" s="196"/>
      <c r="B44" s="201"/>
      <c r="C44" s="194"/>
    </row>
    <row r="45">
      <c r="A45" s="196"/>
      <c r="B45" s="201"/>
      <c r="C45" s="194"/>
    </row>
    <row r="46">
      <c r="A46" s="196"/>
      <c r="B46" s="201"/>
      <c r="C46" s="194"/>
    </row>
    <row r="47">
      <c r="A47" s="196"/>
      <c r="B47" s="201"/>
      <c r="C47" s="194"/>
    </row>
    <row r="48">
      <c r="A48" s="196"/>
      <c r="B48" s="201"/>
      <c r="C48" s="194"/>
    </row>
    <row r="49">
      <c r="A49" s="196"/>
      <c r="B49" s="201"/>
      <c r="C49" s="194"/>
    </row>
    <row r="50">
      <c r="A50" s="196"/>
      <c r="B50" s="201"/>
      <c r="C50" s="194"/>
    </row>
    <row r="51">
      <c r="A51" s="196"/>
      <c r="B51" s="201"/>
      <c r="C51" s="194"/>
    </row>
    <row r="52">
      <c r="A52" s="196"/>
      <c r="B52" s="201"/>
      <c r="C52" s="194"/>
    </row>
    <row r="53">
      <c r="A53" s="196"/>
      <c r="B53" s="201"/>
      <c r="C53" s="194"/>
    </row>
    <row r="54">
      <c r="A54" s="196"/>
      <c r="B54" s="201"/>
      <c r="C54" s="194"/>
    </row>
    <row r="55">
      <c r="A55" s="196"/>
      <c r="B55" s="201"/>
      <c r="C55" s="194"/>
    </row>
    <row r="56">
      <c r="A56" s="196"/>
      <c r="B56" s="201"/>
      <c r="C56" s="194"/>
    </row>
    <row r="57">
      <c r="A57" s="196"/>
      <c r="B57" s="201"/>
      <c r="C57" s="194"/>
    </row>
    <row r="58">
      <c r="A58" s="196"/>
      <c r="B58" s="201"/>
      <c r="C58" s="194"/>
    </row>
    <row r="59">
      <c r="A59" s="196"/>
      <c r="B59" s="201"/>
      <c r="C59" s="194"/>
    </row>
    <row r="60">
      <c r="A60" s="196"/>
      <c r="B60" s="201"/>
      <c r="C60" s="194"/>
    </row>
    <row r="61">
      <c r="A61" s="196"/>
      <c r="B61" s="201"/>
      <c r="C61" s="194"/>
    </row>
    <row r="62">
      <c r="A62" s="196"/>
      <c r="B62" s="201"/>
      <c r="C62" s="194"/>
    </row>
    <row r="63">
      <c r="A63" s="196"/>
      <c r="B63" s="201"/>
      <c r="C63" s="194"/>
    </row>
    <row r="64">
      <c r="A64" s="196"/>
      <c r="B64" s="201"/>
      <c r="C64" s="194"/>
    </row>
    <row r="65">
      <c r="A65" s="196"/>
      <c r="B65" s="201"/>
      <c r="C65" s="194"/>
    </row>
    <row r="66">
      <c r="A66" s="196"/>
      <c r="B66" s="201"/>
      <c r="C66" s="194"/>
    </row>
    <row r="67">
      <c r="A67" s="196"/>
      <c r="B67" s="201"/>
      <c r="C67" s="194"/>
    </row>
    <row r="68">
      <c r="A68" s="196"/>
      <c r="B68" s="201"/>
      <c r="C68" s="194"/>
    </row>
    <row r="69">
      <c r="A69" s="196"/>
      <c r="B69" s="201"/>
      <c r="C69" s="194"/>
    </row>
    <row r="70">
      <c r="A70" s="196"/>
      <c r="B70" s="201"/>
      <c r="C70" s="194"/>
    </row>
    <row r="71">
      <c r="A71" s="196"/>
      <c r="B71" s="201"/>
      <c r="C71" s="194"/>
    </row>
    <row r="72">
      <c r="A72" s="196"/>
      <c r="B72" s="201"/>
      <c r="C72" s="194"/>
    </row>
    <row r="73">
      <c r="A73" s="196"/>
      <c r="B73" s="201"/>
      <c r="C73" s="194"/>
    </row>
    <row r="74">
      <c r="A74" s="196"/>
      <c r="B74" s="201"/>
      <c r="C74" s="194"/>
    </row>
    <row r="75">
      <c r="A75" s="196"/>
      <c r="B75" s="201"/>
      <c r="C75" s="194"/>
    </row>
    <row r="76">
      <c r="A76" s="196"/>
      <c r="B76" s="201"/>
      <c r="C76" s="194"/>
    </row>
    <row r="77">
      <c r="A77" s="196"/>
      <c r="B77" s="201"/>
      <c r="C77" s="194"/>
    </row>
    <row r="78">
      <c r="A78" s="196"/>
      <c r="B78" s="201"/>
      <c r="C78" s="194"/>
    </row>
    <row r="79">
      <c r="A79" s="196"/>
      <c r="B79" s="201"/>
      <c r="C79" s="194"/>
    </row>
    <row r="80">
      <c r="A80" s="196"/>
      <c r="B80" s="201"/>
      <c r="C80" s="194"/>
    </row>
    <row r="81">
      <c r="A81" s="196"/>
      <c r="B81" s="201"/>
      <c r="C81" s="194"/>
    </row>
    <row r="82">
      <c r="A82" s="37"/>
      <c r="B82" s="198"/>
      <c r="C82" s="194"/>
    </row>
    <row r="83">
      <c r="A83" s="37"/>
      <c r="B83" s="198"/>
      <c r="C83" s="194"/>
    </row>
    <row r="84">
      <c r="A84" s="37"/>
      <c r="B84" s="198"/>
      <c r="C84" s="194"/>
    </row>
    <row r="85">
      <c r="A85" s="37"/>
      <c r="B85" s="198"/>
      <c r="C85" s="194"/>
    </row>
    <row r="86">
      <c r="B86" s="129"/>
      <c r="C86" s="129"/>
    </row>
    <row r="87">
      <c r="B87" s="129"/>
      <c r="C87" s="129"/>
    </row>
    <row r="88">
      <c r="A88" s="171" t="s">
        <v>183</v>
      </c>
      <c r="B88" s="148"/>
      <c r="C88" s="58"/>
    </row>
    <row r="89">
      <c r="A89" s="173" t="s">
        <v>153</v>
      </c>
      <c r="B89" s="10"/>
      <c r="C89" s="177">
        <f>B90-C90</f>
        <v>2000</v>
      </c>
    </row>
    <row r="90">
      <c r="A90" s="178" t="s">
        <v>156</v>
      </c>
      <c r="B90" s="179">
        <f t="shared" ref="B90:C90" si="2">SUM(B92:B968)</f>
        <v>5300</v>
      </c>
      <c r="C90" s="179">
        <f t="shared" si="2"/>
        <v>3300</v>
      </c>
    </row>
    <row r="91">
      <c r="A91" s="3" t="s">
        <v>157</v>
      </c>
      <c r="B91" s="181" t="s">
        <v>187</v>
      </c>
      <c r="C91" s="181" t="s">
        <v>160</v>
      </c>
    </row>
    <row r="92">
      <c r="A92" s="182" t="s">
        <v>188</v>
      </c>
      <c r="B92" s="183">
        <v>5000.0</v>
      </c>
      <c r="C92" s="185"/>
    </row>
    <row r="93">
      <c r="A93" s="187" t="s">
        <v>189</v>
      </c>
      <c r="B93" s="153"/>
      <c r="C93" s="188">
        <v>1000.0</v>
      </c>
    </row>
    <row r="94">
      <c r="A94" s="187" t="s">
        <v>190</v>
      </c>
      <c r="B94" s="153">
        <v>300.0</v>
      </c>
      <c r="C94" s="188"/>
    </row>
    <row r="95">
      <c r="A95" s="187" t="s">
        <v>191</v>
      </c>
      <c r="B95" s="153"/>
      <c r="C95" s="188">
        <v>300.0</v>
      </c>
    </row>
    <row r="96">
      <c r="A96" s="187" t="s">
        <v>192</v>
      </c>
      <c r="B96" s="153"/>
      <c r="C96" s="188">
        <v>1000.0</v>
      </c>
    </row>
    <row r="97">
      <c r="A97" s="187" t="s">
        <v>193</v>
      </c>
      <c r="B97" s="153"/>
      <c r="C97" s="188">
        <v>1000.0</v>
      </c>
    </row>
    <row r="98">
      <c r="A98" s="187"/>
      <c r="B98" s="183"/>
      <c r="C98" s="213"/>
    </row>
    <row r="99">
      <c r="A99" s="187"/>
      <c r="B99" s="153"/>
      <c r="C99" s="213"/>
    </row>
    <row r="100">
      <c r="A100" s="187"/>
      <c r="B100" s="153"/>
      <c r="C100" s="213"/>
    </row>
    <row r="101">
      <c r="A101" s="187"/>
      <c r="B101" s="153"/>
      <c r="C101" s="213"/>
    </row>
    <row r="102">
      <c r="A102" s="187"/>
      <c r="B102" s="153"/>
      <c r="C102" s="188"/>
    </row>
    <row r="103">
      <c r="A103" s="187"/>
      <c r="B103" s="153"/>
      <c r="C103" s="194"/>
    </row>
    <row r="104">
      <c r="A104" s="187"/>
      <c r="B104" s="153"/>
      <c r="C104" s="194"/>
    </row>
    <row r="105">
      <c r="A105" s="196"/>
      <c r="B105" s="198"/>
      <c r="C105" s="194"/>
    </row>
    <row r="106">
      <c r="A106" s="187"/>
      <c r="B106" s="198"/>
      <c r="C106" s="194"/>
    </row>
    <row r="107">
      <c r="A107" s="187"/>
      <c r="B107" s="198"/>
      <c r="C107" s="194"/>
    </row>
    <row r="108">
      <c r="A108" s="196"/>
      <c r="B108" s="198"/>
      <c r="C108" s="194"/>
    </row>
    <row r="109">
      <c r="A109" s="196"/>
      <c r="B109" s="198"/>
      <c r="C109" s="194"/>
    </row>
    <row r="110">
      <c r="A110" s="196"/>
      <c r="B110" s="201"/>
      <c r="C110" s="194"/>
    </row>
    <row r="111">
      <c r="A111" s="196"/>
      <c r="B111" s="201"/>
      <c r="C111" s="194"/>
    </row>
    <row r="112">
      <c r="A112" s="187"/>
      <c r="B112" s="183"/>
      <c r="C112" s="185"/>
    </row>
    <row r="113">
      <c r="A113" s="187"/>
      <c r="B113" s="153"/>
      <c r="C113" s="188"/>
    </row>
    <row r="114">
      <c r="A114" s="196"/>
      <c r="B114" s="201"/>
      <c r="C114" s="194"/>
    </row>
    <row r="115">
      <c r="A115" s="196"/>
      <c r="B115" s="201"/>
      <c r="C115" s="194"/>
    </row>
    <row r="116">
      <c r="A116" s="37"/>
      <c r="B116" s="198"/>
      <c r="C116" s="194"/>
    </row>
    <row r="117">
      <c r="A117" s="37"/>
      <c r="B117" s="198"/>
      <c r="C117" s="194"/>
    </row>
    <row r="118">
      <c r="A118" s="37"/>
      <c r="B118" s="198"/>
      <c r="C118" s="194"/>
    </row>
    <row r="119">
      <c r="A119" s="37"/>
      <c r="B119" s="198"/>
      <c r="C119" s="194"/>
    </row>
    <row r="120">
      <c r="A120" s="37"/>
      <c r="B120" s="198"/>
      <c r="C120" s="194"/>
    </row>
    <row r="121">
      <c r="A121" s="37"/>
      <c r="B121" s="198"/>
      <c r="C121" s="194"/>
    </row>
    <row r="122">
      <c r="A122" s="37"/>
      <c r="B122" s="198"/>
      <c r="C122" s="194"/>
    </row>
    <row r="123">
      <c r="A123" s="37"/>
      <c r="B123" s="198"/>
      <c r="C123" s="194"/>
    </row>
    <row r="124">
      <c r="A124" s="37"/>
      <c r="B124" s="198"/>
      <c r="C124" s="194"/>
    </row>
    <row r="125">
      <c r="A125" s="37"/>
      <c r="B125" s="198"/>
      <c r="C125" s="194"/>
    </row>
    <row r="126">
      <c r="A126" s="37"/>
      <c r="B126" s="198"/>
      <c r="C126" s="194"/>
    </row>
    <row r="127">
      <c r="A127" s="37"/>
      <c r="B127" s="198"/>
      <c r="C127" s="194"/>
    </row>
    <row r="128">
      <c r="A128" s="37"/>
      <c r="B128" s="198"/>
      <c r="C128" s="194"/>
    </row>
    <row r="129">
      <c r="A129" s="37"/>
      <c r="B129" s="198"/>
      <c r="C129" s="194"/>
    </row>
    <row r="130">
      <c r="A130" s="37"/>
      <c r="B130" s="198"/>
      <c r="C130" s="194"/>
    </row>
    <row r="131">
      <c r="A131" s="37"/>
      <c r="B131" s="198"/>
      <c r="C131" s="194"/>
    </row>
    <row r="132">
      <c r="A132" s="37"/>
      <c r="B132" s="198"/>
      <c r="C132" s="194"/>
    </row>
    <row r="133">
      <c r="A133" s="37"/>
      <c r="B133" s="198"/>
      <c r="C133" s="194"/>
    </row>
    <row r="134">
      <c r="A134" s="37"/>
      <c r="B134" s="198"/>
      <c r="C134" s="194"/>
    </row>
    <row r="135">
      <c r="A135" s="37"/>
      <c r="B135" s="198"/>
      <c r="C135" s="194"/>
    </row>
    <row r="136">
      <c r="A136" s="37"/>
      <c r="B136" s="198"/>
      <c r="C136" s="194"/>
    </row>
    <row r="137">
      <c r="A137" s="37"/>
      <c r="B137" s="198"/>
      <c r="C137" s="194"/>
    </row>
    <row r="138">
      <c r="A138" s="37"/>
      <c r="B138" s="198"/>
      <c r="C138" s="194"/>
    </row>
    <row r="139">
      <c r="A139" s="37"/>
      <c r="B139" s="198"/>
      <c r="C139" s="194"/>
    </row>
    <row r="140">
      <c r="A140" s="37"/>
      <c r="B140" s="198"/>
      <c r="C140" s="194"/>
    </row>
    <row r="141">
      <c r="A141" s="37"/>
      <c r="B141" s="198"/>
      <c r="C141" s="194"/>
    </row>
    <row r="142">
      <c r="A142" s="37"/>
      <c r="B142" s="198"/>
      <c r="C142" s="194"/>
    </row>
    <row r="143">
      <c r="A143" s="37"/>
      <c r="B143" s="198"/>
      <c r="C143" s="194"/>
    </row>
    <row r="144">
      <c r="A144" s="37"/>
      <c r="B144" s="198"/>
      <c r="C144" s="194"/>
    </row>
    <row r="145">
      <c r="A145" s="37"/>
      <c r="B145" s="198"/>
      <c r="C145" s="194"/>
    </row>
    <row r="146">
      <c r="A146" s="37"/>
      <c r="B146" s="198"/>
      <c r="C146" s="194"/>
    </row>
    <row r="147">
      <c r="A147" s="37"/>
      <c r="B147" s="198"/>
      <c r="C147" s="194"/>
    </row>
    <row r="148">
      <c r="A148" s="37"/>
      <c r="B148" s="198"/>
      <c r="C148" s="194"/>
    </row>
    <row r="149">
      <c r="A149" s="37"/>
      <c r="B149" s="198"/>
      <c r="C149" s="194"/>
    </row>
    <row r="150">
      <c r="A150" s="37"/>
      <c r="B150" s="198"/>
      <c r="C150" s="194"/>
    </row>
    <row r="151">
      <c r="A151" s="37"/>
      <c r="B151" s="198"/>
      <c r="C151" s="194"/>
    </row>
    <row r="152">
      <c r="A152" s="37"/>
      <c r="B152" s="198"/>
      <c r="C152" s="194"/>
    </row>
    <row r="153">
      <c r="A153" s="37"/>
      <c r="B153" s="198"/>
      <c r="C153" s="194"/>
    </row>
    <row r="154">
      <c r="A154" s="37"/>
      <c r="B154" s="198"/>
      <c r="C154" s="194"/>
    </row>
    <row r="155">
      <c r="A155" s="37"/>
      <c r="B155" s="198"/>
      <c r="C155" s="194"/>
    </row>
    <row r="156">
      <c r="A156" s="37"/>
      <c r="B156" s="198"/>
      <c r="C156" s="194"/>
    </row>
    <row r="157">
      <c r="A157" s="37"/>
      <c r="B157" s="198"/>
      <c r="C157" s="194"/>
    </row>
    <row r="158">
      <c r="A158" s="37"/>
      <c r="B158" s="198"/>
      <c r="C158" s="194"/>
    </row>
    <row r="159">
      <c r="A159" s="37"/>
      <c r="B159" s="198"/>
      <c r="C159" s="194"/>
    </row>
    <row r="160">
      <c r="A160" s="37"/>
      <c r="B160" s="198"/>
      <c r="C160" s="194"/>
    </row>
    <row r="161">
      <c r="A161" s="37"/>
      <c r="B161" s="198"/>
      <c r="C161" s="194"/>
    </row>
    <row r="162">
      <c r="A162" s="37"/>
      <c r="B162" s="198"/>
      <c r="C162" s="194"/>
    </row>
    <row r="163">
      <c r="A163" s="37"/>
      <c r="B163" s="198"/>
      <c r="C163" s="194"/>
    </row>
    <row r="164">
      <c r="A164" s="37"/>
      <c r="B164" s="198"/>
      <c r="C164" s="194"/>
    </row>
    <row r="165">
      <c r="A165" s="37"/>
      <c r="B165" s="198"/>
      <c r="C165" s="194"/>
    </row>
    <row r="166">
      <c r="A166" s="37"/>
      <c r="B166" s="198"/>
      <c r="C166" s="194"/>
    </row>
    <row r="167">
      <c r="A167" s="37"/>
      <c r="B167" s="198"/>
      <c r="C167" s="194"/>
    </row>
    <row r="168">
      <c r="A168" s="37"/>
      <c r="B168" s="198"/>
      <c r="C168" s="194"/>
    </row>
    <row r="169">
      <c r="A169" s="37"/>
      <c r="B169" s="198"/>
      <c r="C169" s="194"/>
    </row>
    <row r="170">
      <c r="A170" s="37"/>
      <c r="B170" s="198"/>
      <c r="C170" s="194"/>
    </row>
    <row r="171">
      <c r="A171" s="37"/>
      <c r="B171" s="198"/>
      <c r="C171" s="194"/>
    </row>
    <row r="172">
      <c r="A172" s="37"/>
      <c r="B172" s="198"/>
      <c r="C172" s="194"/>
    </row>
    <row r="173">
      <c r="A173" s="37"/>
      <c r="B173" s="198"/>
      <c r="C173" s="194"/>
    </row>
    <row r="174">
      <c r="A174" s="37"/>
      <c r="B174" s="198"/>
      <c r="C174" s="194"/>
    </row>
    <row r="175">
      <c r="A175" s="37"/>
      <c r="B175" s="198"/>
      <c r="C175" s="194"/>
    </row>
    <row r="176">
      <c r="A176" s="37"/>
      <c r="B176" s="198"/>
      <c r="C176" s="194"/>
    </row>
    <row r="177">
      <c r="A177" s="37"/>
      <c r="B177" s="198"/>
      <c r="C177" s="194"/>
    </row>
    <row r="178">
      <c r="A178" s="37"/>
      <c r="B178" s="198"/>
      <c r="C178" s="194"/>
    </row>
    <row r="179">
      <c r="A179" s="37"/>
      <c r="B179" s="198"/>
      <c r="C179" s="194"/>
    </row>
    <row r="180">
      <c r="A180" s="37"/>
      <c r="B180" s="198"/>
      <c r="C180" s="194"/>
    </row>
    <row r="181">
      <c r="A181" s="37"/>
      <c r="B181" s="198"/>
      <c r="C181" s="194"/>
    </row>
    <row r="182">
      <c r="A182" s="37"/>
      <c r="B182" s="198"/>
      <c r="C182" s="194"/>
    </row>
    <row r="183">
      <c r="A183" s="37"/>
      <c r="B183" s="198"/>
      <c r="C183" s="194"/>
    </row>
    <row r="184">
      <c r="A184" s="37"/>
      <c r="B184" s="198"/>
      <c r="C184" s="194"/>
    </row>
    <row r="185">
      <c r="A185" s="37"/>
      <c r="B185" s="198"/>
      <c r="C185" s="194"/>
    </row>
    <row r="186">
      <c r="A186" s="37"/>
      <c r="B186" s="198"/>
      <c r="C186" s="194"/>
    </row>
    <row r="187">
      <c r="A187" s="37"/>
      <c r="B187" s="198"/>
      <c r="C187" s="194"/>
    </row>
    <row r="188">
      <c r="A188" s="37"/>
      <c r="B188" s="198"/>
      <c r="C188" s="194"/>
    </row>
    <row r="189">
      <c r="A189" s="37"/>
      <c r="B189" s="198"/>
      <c r="C189" s="194"/>
    </row>
    <row r="190">
      <c r="A190" s="37"/>
      <c r="B190" s="198"/>
      <c r="C190" s="194"/>
    </row>
    <row r="191">
      <c r="A191" s="37"/>
      <c r="B191" s="198"/>
      <c r="C191" s="194"/>
    </row>
    <row r="192">
      <c r="A192" s="37"/>
      <c r="B192" s="198"/>
      <c r="C192" s="194"/>
    </row>
    <row r="193">
      <c r="A193" s="37"/>
      <c r="B193" s="198"/>
      <c r="C193" s="194"/>
    </row>
    <row r="194">
      <c r="A194" s="37"/>
      <c r="B194" s="198"/>
      <c r="C194" s="194"/>
    </row>
    <row r="195">
      <c r="A195" s="37"/>
      <c r="B195" s="198"/>
      <c r="C195" s="194"/>
    </row>
    <row r="196">
      <c r="A196" s="37"/>
      <c r="B196" s="198"/>
      <c r="C196" s="194"/>
    </row>
    <row r="197">
      <c r="A197" s="37"/>
      <c r="B197" s="198"/>
      <c r="C197" s="194"/>
    </row>
    <row r="198">
      <c r="A198" s="37"/>
      <c r="B198" s="198"/>
      <c r="C198" s="194"/>
    </row>
    <row r="199">
      <c r="A199" s="37"/>
      <c r="B199" s="198"/>
      <c r="C199" s="194"/>
    </row>
    <row r="200">
      <c r="A200" s="37"/>
      <c r="B200" s="198"/>
      <c r="C200" s="194"/>
    </row>
    <row r="201">
      <c r="A201" s="37"/>
      <c r="B201" s="198"/>
      <c r="C201" s="194"/>
    </row>
    <row r="202">
      <c r="A202" s="37"/>
      <c r="B202" s="198"/>
      <c r="C202" s="194"/>
    </row>
    <row r="203">
      <c r="A203" s="37"/>
      <c r="B203" s="198"/>
      <c r="C203" s="194"/>
    </row>
    <row r="204">
      <c r="A204" s="37"/>
      <c r="B204" s="198"/>
      <c r="C204" s="194"/>
    </row>
    <row r="205">
      <c r="A205" s="37"/>
      <c r="B205" s="198"/>
      <c r="C205" s="194"/>
    </row>
    <row r="206">
      <c r="A206" s="37"/>
      <c r="B206" s="198"/>
      <c r="C206" s="194"/>
    </row>
    <row r="207">
      <c r="A207" s="37"/>
      <c r="B207" s="198"/>
      <c r="C207" s="194"/>
    </row>
    <row r="208">
      <c r="A208" s="37"/>
      <c r="B208" s="198"/>
      <c r="C208" s="194"/>
    </row>
    <row r="209">
      <c r="A209" s="37"/>
      <c r="B209" s="198"/>
      <c r="C209" s="194"/>
    </row>
    <row r="210">
      <c r="A210" s="37"/>
      <c r="B210" s="198"/>
      <c r="C210" s="194"/>
    </row>
    <row r="211">
      <c r="A211" s="37"/>
      <c r="B211" s="198"/>
      <c r="C211" s="194"/>
    </row>
    <row r="212">
      <c r="A212" s="37"/>
      <c r="B212" s="198"/>
      <c r="C212" s="194"/>
    </row>
    <row r="213">
      <c r="A213" s="37"/>
      <c r="B213" s="198"/>
      <c r="C213" s="194"/>
    </row>
    <row r="214">
      <c r="A214" s="37"/>
      <c r="B214" s="198"/>
      <c r="C214" s="194"/>
    </row>
    <row r="215">
      <c r="A215" s="37"/>
      <c r="B215" s="198"/>
      <c r="C215" s="194"/>
    </row>
    <row r="216">
      <c r="A216" s="37"/>
      <c r="B216" s="198"/>
      <c r="C216" s="194"/>
    </row>
    <row r="217">
      <c r="A217" s="37"/>
      <c r="B217" s="198"/>
      <c r="C217" s="194"/>
    </row>
    <row r="218">
      <c r="A218" s="37"/>
      <c r="B218" s="198"/>
      <c r="C218" s="194"/>
    </row>
    <row r="219">
      <c r="A219" s="37"/>
      <c r="B219" s="198"/>
      <c r="C219" s="194"/>
    </row>
    <row r="220">
      <c r="A220" s="37"/>
      <c r="B220" s="198"/>
      <c r="C220" s="194"/>
    </row>
    <row r="221">
      <c r="A221" s="37"/>
      <c r="B221" s="198"/>
      <c r="C221" s="194"/>
    </row>
    <row r="222">
      <c r="A222" s="37"/>
      <c r="B222" s="198"/>
      <c r="C222" s="194"/>
    </row>
    <row r="223">
      <c r="A223" s="37"/>
      <c r="B223" s="198"/>
      <c r="C223" s="194"/>
    </row>
    <row r="224">
      <c r="A224" s="37"/>
      <c r="B224" s="198"/>
      <c r="C224" s="194"/>
    </row>
    <row r="225">
      <c r="A225" s="37"/>
      <c r="B225" s="198"/>
      <c r="C225" s="194"/>
    </row>
    <row r="226">
      <c r="A226" s="37"/>
      <c r="B226" s="198"/>
      <c r="C226" s="194"/>
    </row>
    <row r="227">
      <c r="A227" s="37"/>
      <c r="B227" s="198"/>
      <c r="C227" s="194"/>
    </row>
    <row r="228">
      <c r="A228" s="37"/>
      <c r="B228" s="198"/>
      <c r="C228" s="194"/>
    </row>
    <row r="229">
      <c r="A229" s="37"/>
      <c r="B229" s="198"/>
      <c r="C229" s="194"/>
    </row>
    <row r="230">
      <c r="A230" s="37"/>
      <c r="B230" s="198"/>
      <c r="C230" s="194"/>
    </row>
    <row r="231">
      <c r="A231" s="37"/>
      <c r="B231" s="198"/>
      <c r="C231" s="194"/>
    </row>
    <row r="232">
      <c r="A232" s="37"/>
      <c r="B232" s="198"/>
      <c r="C232" s="194"/>
    </row>
    <row r="233">
      <c r="A233" s="37"/>
      <c r="B233" s="198"/>
      <c r="C233" s="194"/>
    </row>
    <row r="234">
      <c r="A234" s="37"/>
      <c r="B234" s="198"/>
      <c r="C234" s="194"/>
    </row>
    <row r="235">
      <c r="A235" s="37"/>
      <c r="B235" s="198"/>
      <c r="C235" s="194"/>
    </row>
    <row r="236">
      <c r="A236" s="37"/>
      <c r="B236" s="198"/>
      <c r="C236" s="194"/>
    </row>
    <row r="237">
      <c r="A237" s="37"/>
      <c r="B237" s="198"/>
      <c r="C237" s="194"/>
    </row>
    <row r="238">
      <c r="A238" s="37"/>
      <c r="B238" s="198"/>
      <c r="C238" s="194"/>
    </row>
    <row r="239">
      <c r="A239" s="37"/>
      <c r="B239" s="198"/>
      <c r="C239" s="194"/>
    </row>
    <row r="240">
      <c r="A240" s="37"/>
      <c r="B240" s="198"/>
      <c r="C240" s="194"/>
    </row>
    <row r="241">
      <c r="A241" s="37"/>
      <c r="B241" s="198"/>
      <c r="C241" s="194"/>
    </row>
    <row r="242">
      <c r="A242" s="37"/>
      <c r="B242" s="198"/>
      <c r="C242" s="194"/>
    </row>
    <row r="243">
      <c r="A243" s="37"/>
      <c r="B243" s="198"/>
      <c r="C243" s="194"/>
    </row>
    <row r="244">
      <c r="A244" s="37"/>
      <c r="B244" s="198"/>
      <c r="C244" s="194"/>
    </row>
    <row r="245">
      <c r="A245" s="37"/>
      <c r="B245" s="198"/>
      <c r="C245" s="194"/>
    </row>
    <row r="246">
      <c r="A246" s="37"/>
      <c r="B246" s="198"/>
      <c r="C246" s="194"/>
    </row>
    <row r="247">
      <c r="A247" s="37"/>
      <c r="B247" s="198"/>
      <c r="C247" s="194"/>
    </row>
    <row r="248">
      <c r="A248" s="37"/>
      <c r="B248" s="198"/>
      <c r="C248" s="194"/>
    </row>
    <row r="249">
      <c r="A249" s="37"/>
      <c r="B249" s="198"/>
      <c r="C249" s="194"/>
    </row>
    <row r="250">
      <c r="A250" s="37"/>
      <c r="B250" s="198"/>
      <c r="C250" s="194"/>
    </row>
    <row r="251">
      <c r="A251" s="37"/>
      <c r="B251" s="198"/>
      <c r="C251" s="194"/>
    </row>
    <row r="252">
      <c r="A252" s="37"/>
      <c r="B252" s="198"/>
      <c r="C252" s="194"/>
    </row>
    <row r="253">
      <c r="A253" s="37"/>
      <c r="B253" s="198"/>
      <c r="C253" s="194"/>
    </row>
    <row r="254">
      <c r="A254" s="37"/>
      <c r="B254" s="198"/>
      <c r="C254" s="194"/>
    </row>
    <row r="255">
      <c r="A255" s="37"/>
      <c r="B255" s="198"/>
      <c r="C255" s="194"/>
    </row>
    <row r="256">
      <c r="A256" s="37"/>
      <c r="B256" s="198"/>
      <c r="C256" s="194"/>
    </row>
    <row r="257">
      <c r="A257" s="37"/>
      <c r="B257" s="198"/>
      <c r="C257" s="194"/>
    </row>
    <row r="258">
      <c r="A258" s="37"/>
      <c r="B258" s="198"/>
      <c r="C258" s="194"/>
    </row>
    <row r="259">
      <c r="A259" s="37"/>
      <c r="B259" s="198"/>
      <c r="C259" s="194"/>
    </row>
    <row r="260">
      <c r="A260" s="37"/>
      <c r="B260" s="198"/>
      <c r="C260" s="194"/>
    </row>
    <row r="261">
      <c r="A261" s="37"/>
      <c r="B261" s="198"/>
      <c r="C261" s="194"/>
    </row>
    <row r="262">
      <c r="A262" s="37"/>
      <c r="B262" s="198"/>
      <c r="C262" s="194"/>
    </row>
    <row r="263">
      <c r="A263" s="37"/>
      <c r="B263" s="198"/>
      <c r="C263" s="194"/>
    </row>
    <row r="264">
      <c r="A264" s="37"/>
      <c r="B264" s="198"/>
      <c r="C264" s="194"/>
    </row>
    <row r="265">
      <c r="A265" s="37"/>
      <c r="B265" s="198"/>
      <c r="C265" s="194"/>
    </row>
    <row r="266">
      <c r="A266" s="37"/>
      <c r="B266" s="198"/>
      <c r="C266" s="194"/>
    </row>
    <row r="267">
      <c r="A267" s="37"/>
      <c r="B267" s="198"/>
      <c r="C267" s="194"/>
    </row>
    <row r="268">
      <c r="A268" s="37"/>
      <c r="B268" s="198"/>
      <c r="C268" s="194"/>
    </row>
    <row r="269">
      <c r="A269" s="37"/>
      <c r="B269" s="198"/>
      <c r="C269" s="194"/>
    </row>
    <row r="270">
      <c r="A270" s="37"/>
      <c r="B270" s="198"/>
      <c r="C270" s="194"/>
    </row>
    <row r="271">
      <c r="A271" s="37"/>
      <c r="B271" s="198"/>
      <c r="C271" s="194"/>
    </row>
    <row r="272">
      <c r="A272" s="37"/>
      <c r="B272" s="198"/>
      <c r="C272" s="194"/>
    </row>
    <row r="273">
      <c r="A273" s="37"/>
      <c r="B273" s="198"/>
      <c r="C273" s="194"/>
    </row>
    <row r="274">
      <c r="A274" s="37"/>
      <c r="B274" s="198"/>
      <c r="C274" s="194"/>
    </row>
    <row r="275">
      <c r="A275" s="37"/>
      <c r="B275" s="198"/>
      <c r="C275" s="194"/>
    </row>
    <row r="276">
      <c r="A276" s="37"/>
      <c r="B276" s="198"/>
      <c r="C276" s="194"/>
    </row>
    <row r="277">
      <c r="A277" s="37"/>
      <c r="B277" s="198"/>
      <c r="C277" s="194"/>
    </row>
    <row r="278">
      <c r="A278" s="37"/>
      <c r="B278" s="198"/>
      <c r="C278" s="194"/>
    </row>
    <row r="279">
      <c r="A279" s="37"/>
      <c r="B279" s="198"/>
      <c r="C279" s="194"/>
    </row>
    <row r="280">
      <c r="A280" s="37"/>
      <c r="B280" s="198"/>
      <c r="C280" s="194"/>
    </row>
    <row r="281">
      <c r="A281" s="37"/>
      <c r="B281" s="198"/>
      <c r="C281" s="194"/>
    </row>
    <row r="282">
      <c r="A282" s="37"/>
      <c r="B282" s="198"/>
      <c r="C282" s="194"/>
    </row>
    <row r="283">
      <c r="A283" s="37"/>
      <c r="B283" s="198"/>
      <c r="C283" s="194"/>
    </row>
    <row r="284">
      <c r="A284" s="37"/>
      <c r="B284" s="198"/>
      <c r="C284" s="194"/>
    </row>
    <row r="285">
      <c r="A285" s="37"/>
      <c r="B285" s="198"/>
      <c r="C285" s="194"/>
    </row>
    <row r="286">
      <c r="A286" s="37"/>
      <c r="B286" s="198"/>
      <c r="C286" s="194"/>
    </row>
    <row r="287">
      <c r="A287" s="37"/>
      <c r="B287" s="198"/>
      <c r="C287" s="194"/>
    </row>
    <row r="288">
      <c r="A288" s="37"/>
      <c r="B288" s="198"/>
      <c r="C288" s="194"/>
    </row>
    <row r="289">
      <c r="A289" s="37"/>
      <c r="B289" s="198"/>
      <c r="C289" s="194"/>
    </row>
    <row r="290">
      <c r="A290" s="37"/>
      <c r="B290" s="198"/>
      <c r="C290" s="194"/>
    </row>
    <row r="291">
      <c r="A291" s="37"/>
      <c r="B291" s="198"/>
      <c r="C291" s="194"/>
    </row>
    <row r="292">
      <c r="A292" s="37"/>
      <c r="B292" s="198"/>
      <c r="C292" s="194"/>
    </row>
    <row r="293">
      <c r="A293" s="37"/>
      <c r="B293" s="198"/>
      <c r="C293" s="194"/>
    </row>
    <row r="294">
      <c r="A294" s="37"/>
      <c r="B294" s="198"/>
      <c r="C294" s="194"/>
    </row>
    <row r="295">
      <c r="A295" s="37"/>
      <c r="B295" s="198"/>
      <c r="C295" s="194"/>
    </row>
    <row r="296">
      <c r="A296" s="37"/>
      <c r="B296" s="198"/>
      <c r="C296" s="194"/>
    </row>
    <row r="297">
      <c r="A297" s="37"/>
      <c r="B297" s="198"/>
      <c r="C297" s="194"/>
    </row>
    <row r="298">
      <c r="A298" s="37"/>
      <c r="B298" s="198"/>
      <c r="C298" s="194"/>
    </row>
    <row r="299">
      <c r="A299" s="37"/>
      <c r="B299" s="198"/>
      <c r="C299" s="194"/>
    </row>
    <row r="300">
      <c r="A300" s="37"/>
      <c r="B300" s="198"/>
      <c r="C300" s="194"/>
    </row>
    <row r="301">
      <c r="A301" s="37"/>
      <c r="B301" s="198"/>
      <c r="C301" s="194"/>
    </row>
    <row r="302">
      <c r="A302" s="37"/>
      <c r="B302" s="198"/>
      <c r="C302" s="194"/>
    </row>
    <row r="303">
      <c r="A303" s="37"/>
      <c r="B303" s="198"/>
      <c r="C303" s="194"/>
    </row>
    <row r="304">
      <c r="A304" s="37"/>
      <c r="B304" s="198"/>
      <c r="C304" s="194"/>
    </row>
    <row r="305">
      <c r="A305" s="37"/>
      <c r="B305" s="198"/>
      <c r="C305" s="194"/>
    </row>
    <row r="306">
      <c r="A306" s="37"/>
      <c r="B306" s="198"/>
      <c r="C306" s="194"/>
    </row>
    <row r="307">
      <c r="A307" s="37"/>
      <c r="B307" s="198"/>
      <c r="C307" s="194"/>
    </row>
    <row r="308">
      <c r="A308" s="37"/>
      <c r="B308" s="198"/>
      <c r="C308" s="194"/>
    </row>
    <row r="309">
      <c r="A309" s="37"/>
      <c r="B309" s="198"/>
      <c r="C309" s="194"/>
    </row>
    <row r="310">
      <c r="A310" s="37"/>
      <c r="B310" s="198"/>
      <c r="C310" s="194"/>
    </row>
    <row r="311">
      <c r="A311" s="37"/>
      <c r="B311" s="198"/>
      <c r="C311" s="194"/>
    </row>
    <row r="312">
      <c r="A312" s="37"/>
      <c r="B312" s="198"/>
      <c r="C312" s="194"/>
    </row>
    <row r="313">
      <c r="A313" s="37"/>
      <c r="B313" s="198"/>
      <c r="C313" s="194"/>
    </row>
    <row r="314">
      <c r="A314" s="37"/>
      <c r="B314" s="198"/>
      <c r="C314" s="194"/>
    </row>
    <row r="315">
      <c r="A315" s="37"/>
      <c r="B315" s="198"/>
      <c r="C315" s="194"/>
    </row>
    <row r="316">
      <c r="A316" s="37"/>
      <c r="B316" s="198"/>
      <c r="C316" s="194"/>
    </row>
    <row r="317">
      <c r="A317" s="37"/>
      <c r="B317" s="198"/>
      <c r="C317" s="194"/>
    </row>
    <row r="318">
      <c r="A318" s="37"/>
      <c r="B318" s="198"/>
      <c r="C318" s="194"/>
    </row>
    <row r="319">
      <c r="A319" s="37"/>
      <c r="B319" s="198"/>
      <c r="C319" s="194"/>
    </row>
    <row r="320">
      <c r="A320" s="37"/>
      <c r="B320" s="198"/>
      <c r="C320" s="194"/>
    </row>
    <row r="321">
      <c r="A321" s="37"/>
      <c r="B321" s="198"/>
      <c r="C321" s="194"/>
    </row>
    <row r="322">
      <c r="A322" s="37"/>
      <c r="B322" s="198"/>
      <c r="C322" s="194"/>
    </row>
    <row r="323">
      <c r="A323" s="37"/>
      <c r="B323" s="198"/>
      <c r="C323" s="194"/>
    </row>
    <row r="324">
      <c r="A324" s="37"/>
      <c r="B324" s="198"/>
      <c r="C324" s="194"/>
    </row>
    <row r="325">
      <c r="A325" s="37"/>
      <c r="B325" s="198"/>
      <c r="C325" s="194"/>
    </row>
    <row r="326">
      <c r="A326" s="37"/>
      <c r="B326" s="198"/>
      <c r="C326" s="194"/>
    </row>
    <row r="327">
      <c r="A327" s="37"/>
      <c r="B327" s="198"/>
      <c r="C327" s="194"/>
    </row>
    <row r="328">
      <c r="A328" s="37"/>
      <c r="B328" s="198"/>
      <c r="C328" s="194"/>
    </row>
    <row r="329">
      <c r="A329" s="37"/>
      <c r="B329" s="198"/>
      <c r="C329" s="194"/>
    </row>
    <row r="330">
      <c r="A330" s="37"/>
      <c r="B330" s="198"/>
      <c r="C330" s="194"/>
    </row>
    <row r="331">
      <c r="A331" s="37"/>
      <c r="B331" s="198"/>
      <c r="C331" s="194"/>
    </row>
    <row r="332">
      <c r="A332" s="37"/>
      <c r="B332" s="198"/>
      <c r="C332" s="194"/>
    </row>
    <row r="333">
      <c r="A333" s="37"/>
      <c r="B333" s="198"/>
      <c r="C333" s="194"/>
    </row>
    <row r="334">
      <c r="A334" s="37"/>
      <c r="B334" s="198"/>
      <c r="C334" s="194"/>
    </row>
    <row r="335">
      <c r="A335" s="37"/>
      <c r="B335" s="198"/>
      <c r="C335" s="194"/>
    </row>
    <row r="336">
      <c r="A336" s="37"/>
      <c r="B336" s="198"/>
      <c r="C336" s="194"/>
    </row>
    <row r="337">
      <c r="A337" s="37"/>
      <c r="B337" s="198"/>
      <c r="C337" s="194"/>
    </row>
    <row r="338">
      <c r="A338" s="37"/>
      <c r="B338" s="198"/>
      <c r="C338" s="194"/>
    </row>
    <row r="339">
      <c r="A339" s="37"/>
      <c r="B339" s="198"/>
      <c r="C339" s="194"/>
    </row>
    <row r="340">
      <c r="A340" s="37"/>
      <c r="B340" s="198"/>
      <c r="C340" s="194"/>
    </row>
    <row r="341">
      <c r="A341" s="37"/>
      <c r="B341" s="198"/>
      <c r="C341" s="194"/>
    </row>
    <row r="342">
      <c r="A342" s="37"/>
      <c r="B342" s="198"/>
      <c r="C342" s="194"/>
    </row>
    <row r="343">
      <c r="A343" s="37"/>
      <c r="B343" s="198"/>
      <c r="C343" s="194"/>
    </row>
    <row r="344">
      <c r="A344" s="37"/>
      <c r="B344" s="198"/>
      <c r="C344" s="194"/>
    </row>
    <row r="345">
      <c r="A345" s="37"/>
      <c r="B345" s="198"/>
      <c r="C345" s="194"/>
    </row>
    <row r="346">
      <c r="A346" s="37"/>
      <c r="B346" s="198"/>
      <c r="C346" s="194"/>
    </row>
    <row r="347">
      <c r="A347" s="37"/>
      <c r="B347" s="198"/>
      <c r="C347" s="194"/>
    </row>
    <row r="348">
      <c r="A348" s="37"/>
      <c r="B348" s="198"/>
      <c r="C348" s="194"/>
    </row>
    <row r="349">
      <c r="A349" s="37"/>
      <c r="B349" s="198"/>
      <c r="C349" s="194"/>
    </row>
    <row r="350">
      <c r="A350" s="37"/>
      <c r="B350" s="198"/>
      <c r="C350" s="194"/>
    </row>
    <row r="351">
      <c r="A351" s="37"/>
      <c r="B351" s="198"/>
      <c r="C351" s="194"/>
    </row>
    <row r="352">
      <c r="A352" s="37"/>
      <c r="B352" s="198"/>
      <c r="C352" s="194"/>
    </row>
    <row r="353">
      <c r="A353" s="37"/>
      <c r="B353" s="198"/>
      <c r="C353" s="194"/>
    </row>
    <row r="354">
      <c r="A354" s="37"/>
      <c r="B354" s="198"/>
      <c r="C354" s="194"/>
    </row>
    <row r="355">
      <c r="A355" s="37"/>
      <c r="B355" s="198"/>
      <c r="C355" s="194"/>
    </row>
    <row r="356">
      <c r="A356" s="37"/>
      <c r="B356" s="198"/>
      <c r="C356" s="194"/>
    </row>
    <row r="357">
      <c r="A357" s="37"/>
      <c r="B357" s="198"/>
      <c r="C357" s="194"/>
    </row>
    <row r="358">
      <c r="A358" s="37"/>
      <c r="B358" s="198"/>
      <c r="C358" s="194"/>
    </row>
    <row r="359">
      <c r="A359" s="37"/>
      <c r="B359" s="198"/>
      <c r="C359" s="194"/>
    </row>
    <row r="360">
      <c r="A360" s="37"/>
      <c r="B360" s="198"/>
      <c r="C360" s="194"/>
    </row>
    <row r="361">
      <c r="A361" s="37"/>
      <c r="B361" s="198"/>
      <c r="C361" s="194"/>
    </row>
    <row r="362">
      <c r="A362" s="37"/>
      <c r="B362" s="198"/>
      <c r="C362" s="194"/>
    </row>
    <row r="363">
      <c r="A363" s="37"/>
      <c r="B363" s="198"/>
      <c r="C363" s="194"/>
    </row>
    <row r="364">
      <c r="A364" s="37"/>
      <c r="B364" s="198"/>
      <c r="C364" s="194"/>
    </row>
    <row r="365">
      <c r="A365" s="37"/>
      <c r="B365" s="198"/>
      <c r="C365" s="194"/>
    </row>
    <row r="366">
      <c r="A366" s="37"/>
      <c r="B366" s="198"/>
      <c r="C366" s="194"/>
    </row>
    <row r="367">
      <c r="A367" s="37"/>
      <c r="B367" s="198"/>
      <c r="C367" s="194"/>
    </row>
    <row r="368">
      <c r="A368" s="37"/>
      <c r="B368" s="198"/>
      <c r="C368" s="194"/>
    </row>
    <row r="369">
      <c r="A369" s="37"/>
      <c r="B369" s="198"/>
      <c r="C369" s="194"/>
    </row>
    <row r="370">
      <c r="A370" s="37"/>
      <c r="B370" s="198"/>
      <c r="C370" s="194"/>
    </row>
    <row r="371">
      <c r="A371" s="37"/>
      <c r="B371" s="198"/>
      <c r="C371" s="194"/>
    </row>
    <row r="372">
      <c r="A372" s="37"/>
      <c r="B372" s="198"/>
      <c r="C372" s="194"/>
    </row>
    <row r="373">
      <c r="A373" s="37"/>
      <c r="B373" s="198"/>
      <c r="C373" s="194"/>
    </row>
    <row r="374">
      <c r="A374" s="37"/>
      <c r="B374" s="198"/>
      <c r="C374" s="194"/>
    </row>
    <row r="375">
      <c r="A375" s="37"/>
      <c r="B375" s="198"/>
      <c r="C375" s="194"/>
    </row>
    <row r="376">
      <c r="A376" s="37"/>
      <c r="B376" s="198"/>
      <c r="C376" s="194"/>
    </row>
    <row r="377">
      <c r="A377" s="37"/>
      <c r="B377" s="198"/>
      <c r="C377" s="194"/>
    </row>
    <row r="378">
      <c r="A378" s="37"/>
      <c r="B378" s="198"/>
      <c r="C378" s="194"/>
    </row>
    <row r="379">
      <c r="A379" s="37"/>
      <c r="B379" s="198"/>
      <c r="C379" s="194"/>
    </row>
    <row r="380">
      <c r="A380" s="37"/>
      <c r="B380" s="198"/>
      <c r="C380" s="194"/>
    </row>
    <row r="381">
      <c r="A381" s="37"/>
      <c r="B381" s="198"/>
      <c r="C381" s="194"/>
    </row>
    <row r="382">
      <c r="A382" s="37"/>
      <c r="B382" s="198"/>
      <c r="C382" s="194"/>
    </row>
    <row r="383">
      <c r="A383" s="37"/>
      <c r="B383" s="198"/>
      <c r="C383" s="194"/>
    </row>
    <row r="384">
      <c r="A384" s="37"/>
      <c r="B384" s="198"/>
      <c r="C384" s="194"/>
    </row>
    <row r="385">
      <c r="A385" s="37"/>
      <c r="B385" s="198"/>
      <c r="C385" s="194"/>
    </row>
    <row r="386">
      <c r="A386" s="37"/>
      <c r="B386" s="198"/>
      <c r="C386" s="194"/>
    </row>
    <row r="387">
      <c r="A387" s="37"/>
      <c r="B387" s="198"/>
      <c r="C387" s="194"/>
    </row>
    <row r="388">
      <c r="A388" s="37"/>
      <c r="B388" s="198"/>
      <c r="C388" s="194"/>
    </row>
    <row r="389">
      <c r="A389" s="37"/>
      <c r="B389" s="198"/>
      <c r="C389" s="194"/>
    </row>
    <row r="390">
      <c r="A390" s="37"/>
      <c r="B390" s="198"/>
      <c r="C390" s="194"/>
    </row>
    <row r="391">
      <c r="A391" s="37"/>
      <c r="B391" s="198"/>
      <c r="C391" s="194"/>
    </row>
    <row r="392">
      <c r="A392" s="37"/>
      <c r="B392" s="198"/>
      <c r="C392" s="194"/>
    </row>
    <row r="393">
      <c r="A393" s="37"/>
      <c r="B393" s="198"/>
      <c r="C393" s="194"/>
    </row>
    <row r="394">
      <c r="A394" s="37"/>
      <c r="B394" s="198"/>
      <c r="C394" s="194"/>
    </row>
    <row r="395">
      <c r="A395" s="37"/>
      <c r="B395" s="198"/>
      <c r="C395" s="194"/>
    </row>
    <row r="396">
      <c r="A396" s="37"/>
      <c r="B396" s="198"/>
      <c r="C396" s="194"/>
    </row>
    <row r="397">
      <c r="A397" s="37"/>
      <c r="B397" s="198"/>
      <c r="C397" s="194"/>
    </row>
    <row r="398">
      <c r="A398" s="37"/>
      <c r="B398" s="198"/>
      <c r="C398" s="194"/>
    </row>
    <row r="399">
      <c r="A399" s="37"/>
      <c r="B399" s="198"/>
      <c r="C399" s="194"/>
    </row>
    <row r="400">
      <c r="A400" s="37"/>
      <c r="B400" s="198"/>
      <c r="C400" s="194"/>
    </row>
    <row r="401">
      <c r="A401" s="37"/>
      <c r="B401" s="198"/>
      <c r="C401" s="194"/>
    </row>
    <row r="402">
      <c r="A402" s="37"/>
      <c r="B402" s="198"/>
      <c r="C402" s="194"/>
    </row>
    <row r="403">
      <c r="A403" s="37"/>
      <c r="B403" s="198"/>
      <c r="C403" s="194"/>
    </row>
    <row r="404">
      <c r="A404" s="37"/>
      <c r="B404" s="198"/>
      <c r="C404" s="194"/>
    </row>
    <row r="405">
      <c r="A405" s="37"/>
      <c r="B405" s="198"/>
      <c r="C405" s="194"/>
    </row>
    <row r="406">
      <c r="A406" s="37"/>
      <c r="B406" s="198"/>
      <c r="C406" s="194"/>
    </row>
    <row r="407">
      <c r="A407" s="37"/>
      <c r="B407" s="198"/>
      <c r="C407" s="194"/>
    </row>
    <row r="408">
      <c r="A408" s="37"/>
      <c r="B408" s="198"/>
      <c r="C408" s="194"/>
    </row>
    <row r="409">
      <c r="A409" s="37"/>
      <c r="B409" s="198"/>
      <c r="C409" s="194"/>
    </row>
    <row r="410">
      <c r="A410" s="37"/>
      <c r="B410" s="198"/>
      <c r="C410" s="194"/>
    </row>
    <row r="411">
      <c r="A411" s="37"/>
      <c r="B411" s="198"/>
      <c r="C411" s="194"/>
    </row>
    <row r="412">
      <c r="A412" s="37"/>
      <c r="B412" s="198"/>
      <c r="C412" s="194"/>
    </row>
    <row r="413">
      <c r="A413" s="37"/>
      <c r="B413" s="198"/>
      <c r="C413" s="194"/>
    </row>
    <row r="414">
      <c r="A414" s="37"/>
      <c r="B414" s="198"/>
      <c r="C414" s="194"/>
    </row>
    <row r="415">
      <c r="A415" s="37"/>
      <c r="B415" s="198"/>
      <c r="C415" s="194"/>
    </row>
    <row r="416">
      <c r="A416" s="37"/>
      <c r="B416" s="198"/>
      <c r="C416" s="194"/>
    </row>
    <row r="417">
      <c r="A417" s="37"/>
      <c r="B417" s="198"/>
      <c r="C417" s="194"/>
    </row>
    <row r="418">
      <c r="A418" s="37"/>
      <c r="B418" s="198"/>
      <c r="C418" s="194"/>
    </row>
    <row r="419">
      <c r="A419" s="37"/>
      <c r="B419" s="198"/>
      <c r="C419" s="194"/>
    </row>
    <row r="420">
      <c r="A420" s="37"/>
      <c r="B420" s="198"/>
      <c r="C420" s="194"/>
    </row>
    <row r="421">
      <c r="A421" s="37"/>
      <c r="B421" s="198"/>
      <c r="C421" s="194"/>
    </row>
    <row r="422">
      <c r="A422" s="37"/>
      <c r="B422" s="198"/>
      <c r="C422" s="194"/>
    </row>
    <row r="423">
      <c r="A423" s="37"/>
      <c r="B423" s="198"/>
      <c r="C423" s="194"/>
    </row>
    <row r="424">
      <c r="A424" s="37"/>
      <c r="B424" s="198"/>
      <c r="C424" s="194"/>
    </row>
    <row r="425">
      <c r="A425" s="37"/>
      <c r="B425" s="198"/>
      <c r="C425" s="194"/>
    </row>
    <row r="426">
      <c r="A426" s="37"/>
      <c r="B426" s="198"/>
      <c r="C426" s="194"/>
    </row>
    <row r="427">
      <c r="A427" s="37"/>
      <c r="B427" s="198"/>
      <c r="C427" s="194"/>
    </row>
    <row r="428">
      <c r="A428" s="37"/>
      <c r="B428" s="198"/>
      <c r="C428" s="194"/>
    </row>
    <row r="429">
      <c r="A429" s="37"/>
      <c r="B429" s="198"/>
      <c r="C429" s="194"/>
    </row>
    <row r="430">
      <c r="A430" s="37"/>
      <c r="B430" s="198"/>
      <c r="C430" s="194"/>
    </row>
    <row r="431">
      <c r="A431" s="37"/>
      <c r="B431" s="198"/>
      <c r="C431" s="194"/>
    </row>
    <row r="432">
      <c r="A432" s="37"/>
      <c r="B432" s="198"/>
      <c r="C432" s="194"/>
    </row>
    <row r="433">
      <c r="A433" s="37"/>
      <c r="B433" s="198"/>
      <c r="C433" s="194"/>
    </row>
    <row r="434">
      <c r="A434" s="37"/>
      <c r="B434" s="198"/>
      <c r="C434" s="194"/>
    </row>
    <row r="435">
      <c r="A435" s="37"/>
      <c r="B435" s="198"/>
      <c r="C435" s="194"/>
    </row>
    <row r="436">
      <c r="A436" s="37"/>
      <c r="B436" s="198"/>
      <c r="C436" s="194"/>
    </row>
    <row r="437">
      <c r="A437" s="37"/>
      <c r="B437" s="198"/>
      <c r="C437" s="194"/>
    </row>
    <row r="438">
      <c r="A438" s="37"/>
      <c r="B438" s="198"/>
      <c r="C438" s="194"/>
    </row>
    <row r="439">
      <c r="A439" s="37"/>
      <c r="B439" s="198"/>
      <c r="C439" s="194"/>
    </row>
    <row r="440">
      <c r="A440" s="37"/>
      <c r="B440" s="198"/>
      <c r="C440" s="194"/>
    </row>
    <row r="441">
      <c r="A441" s="37"/>
      <c r="B441" s="198"/>
      <c r="C441" s="194"/>
    </row>
    <row r="442">
      <c r="A442" s="37"/>
      <c r="B442" s="198"/>
      <c r="C442" s="194"/>
    </row>
    <row r="443">
      <c r="A443" s="37"/>
      <c r="B443" s="198"/>
      <c r="C443" s="194"/>
    </row>
    <row r="444">
      <c r="A444" s="37"/>
      <c r="B444" s="198"/>
      <c r="C444" s="194"/>
    </row>
    <row r="445">
      <c r="A445" s="37"/>
      <c r="B445" s="198"/>
      <c r="C445" s="194"/>
    </row>
    <row r="446">
      <c r="A446" s="37"/>
      <c r="B446" s="198"/>
      <c r="C446" s="194"/>
    </row>
    <row r="447">
      <c r="A447" s="37"/>
      <c r="B447" s="198"/>
      <c r="C447" s="194"/>
    </row>
    <row r="448">
      <c r="A448" s="37"/>
      <c r="B448" s="198"/>
      <c r="C448" s="194"/>
    </row>
    <row r="449">
      <c r="A449" s="37"/>
      <c r="B449" s="198"/>
      <c r="C449" s="194"/>
    </row>
    <row r="450">
      <c r="A450" s="37"/>
      <c r="B450" s="198"/>
      <c r="C450" s="194"/>
    </row>
    <row r="451">
      <c r="A451" s="37"/>
      <c r="B451" s="198"/>
      <c r="C451" s="194"/>
    </row>
    <row r="452">
      <c r="A452" s="37"/>
      <c r="B452" s="198"/>
      <c r="C452" s="194"/>
    </row>
    <row r="453">
      <c r="A453" s="37"/>
      <c r="B453" s="198"/>
      <c r="C453" s="194"/>
    </row>
    <row r="454">
      <c r="A454" s="37"/>
      <c r="B454" s="198"/>
      <c r="C454" s="194"/>
    </row>
    <row r="455">
      <c r="A455" s="37"/>
      <c r="B455" s="198"/>
      <c r="C455" s="194"/>
    </row>
    <row r="456">
      <c r="A456" s="37"/>
      <c r="B456" s="198"/>
      <c r="C456" s="194"/>
    </row>
    <row r="457">
      <c r="A457" s="37"/>
      <c r="B457" s="198"/>
      <c r="C457" s="194"/>
    </row>
    <row r="458">
      <c r="A458" s="37"/>
      <c r="B458" s="198"/>
      <c r="C458" s="194"/>
    </row>
    <row r="459">
      <c r="A459" s="37"/>
      <c r="B459" s="198"/>
      <c r="C459" s="194"/>
    </row>
    <row r="460">
      <c r="A460" s="37"/>
      <c r="B460" s="198"/>
      <c r="C460" s="194"/>
    </row>
    <row r="461">
      <c r="A461" s="37"/>
      <c r="B461" s="198"/>
      <c r="C461" s="194"/>
    </row>
    <row r="462">
      <c r="A462" s="37"/>
      <c r="B462" s="198"/>
      <c r="C462" s="194"/>
    </row>
    <row r="463">
      <c r="A463" s="37"/>
      <c r="B463" s="198"/>
      <c r="C463" s="194"/>
    </row>
    <row r="464">
      <c r="A464" s="37"/>
      <c r="B464" s="198"/>
      <c r="C464" s="194"/>
    </row>
    <row r="465">
      <c r="A465" s="37"/>
      <c r="B465" s="198"/>
      <c r="C465" s="194"/>
    </row>
    <row r="466">
      <c r="A466" s="37"/>
      <c r="B466" s="198"/>
      <c r="C466" s="194"/>
    </row>
    <row r="467">
      <c r="A467" s="37"/>
      <c r="B467" s="198"/>
      <c r="C467" s="194"/>
    </row>
    <row r="468">
      <c r="A468" s="37"/>
      <c r="B468" s="198"/>
      <c r="C468" s="194"/>
    </row>
    <row r="469">
      <c r="A469" s="37"/>
      <c r="B469" s="198"/>
      <c r="C469" s="194"/>
    </row>
    <row r="470">
      <c r="A470" s="37"/>
      <c r="B470" s="198"/>
      <c r="C470" s="194"/>
    </row>
    <row r="471">
      <c r="A471" s="37"/>
      <c r="B471" s="198"/>
      <c r="C471" s="194"/>
    </row>
    <row r="472">
      <c r="A472" s="37"/>
      <c r="B472" s="198"/>
      <c r="C472" s="194"/>
    </row>
    <row r="473">
      <c r="A473" s="37"/>
      <c r="B473" s="198"/>
      <c r="C473" s="194"/>
    </row>
    <row r="474">
      <c r="A474" s="37"/>
      <c r="B474" s="198"/>
      <c r="C474" s="194"/>
    </row>
    <row r="475">
      <c r="A475" s="37"/>
      <c r="B475" s="198"/>
      <c r="C475" s="194"/>
    </row>
    <row r="476">
      <c r="A476" s="37"/>
      <c r="B476" s="198"/>
      <c r="C476" s="194"/>
    </row>
    <row r="477">
      <c r="A477" s="37"/>
      <c r="B477" s="198"/>
      <c r="C477" s="194"/>
    </row>
    <row r="478">
      <c r="A478" s="37"/>
      <c r="B478" s="198"/>
      <c r="C478" s="194"/>
    </row>
    <row r="479">
      <c r="A479" s="37"/>
      <c r="B479" s="198"/>
      <c r="C479" s="194"/>
    </row>
    <row r="480">
      <c r="A480" s="37"/>
      <c r="B480" s="198"/>
      <c r="C480" s="194"/>
    </row>
    <row r="481">
      <c r="A481" s="37"/>
      <c r="B481" s="198"/>
      <c r="C481" s="194"/>
    </row>
    <row r="482">
      <c r="A482" s="37"/>
      <c r="B482" s="198"/>
      <c r="C482" s="194"/>
    </row>
    <row r="483">
      <c r="A483" s="37"/>
      <c r="B483" s="198"/>
      <c r="C483" s="194"/>
    </row>
    <row r="484">
      <c r="A484" s="37"/>
      <c r="B484" s="198"/>
      <c r="C484" s="194"/>
    </row>
    <row r="485">
      <c r="A485" s="37"/>
      <c r="B485" s="198"/>
      <c r="C485" s="194"/>
    </row>
    <row r="486">
      <c r="A486" s="37"/>
      <c r="B486" s="198"/>
      <c r="C486" s="194"/>
    </row>
    <row r="487">
      <c r="A487" s="37"/>
      <c r="B487" s="198"/>
      <c r="C487" s="194"/>
    </row>
    <row r="488">
      <c r="A488" s="37"/>
      <c r="B488" s="198"/>
      <c r="C488" s="194"/>
    </row>
    <row r="489">
      <c r="A489" s="37"/>
      <c r="B489" s="198"/>
      <c r="C489" s="194"/>
    </row>
    <row r="490">
      <c r="A490" s="37"/>
      <c r="B490" s="198"/>
      <c r="C490" s="194"/>
    </row>
    <row r="491">
      <c r="A491" s="37"/>
      <c r="B491" s="198"/>
      <c r="C491" s="194"/>
    </row>
    <row r="492">
      <c r="A492" s="37"/>
      <c r="B492" s="198"/>
      <c r="C492" s="194"/>
    </row>
    <row r="493">
      <c r="A493" s="37"/>
      <c r="B493" s="198"/>
      <c r="C493" s="194"/>
    </row>
    <row r="494">
      <c r="A494" s="37"/>
      <c r="B494" s="198"/>
      <c r="C494" s="194"/>
    </row>
    <row r="495">
      <c r="A495" s="37"/>
      <c r="B495" s="198"/>
      <c r="C495" s="194"/>
    </row>
    <row r="496">
      <c r="A496" s="37"/>
      <c r="B496" s="198"/>
      <c r="C496" s="194"/>
    </row>
    <row r="497">
      <c r="A497" s="37"/>
      <c r="B497" s="198"/>
      <c r="C497" s="194"/>
    </row>
    <row r="498">
      <c r="A498" s="37"/>
      <c r="B498" s="198"/>
      <c r="C498" s="194"/>
    </row>
    <row r="499">
      <c r="A499" s="37"/>
      <c r="B499" s="198"/>
      <c r="C499" s="194"/>
    </row>
    <row r="500">
      <c r="A500" s="37"/>
      <c r="B500" s="198"/>
      <c r="C500" s="194"/>
    </row>
    <row r="501">
      <c r="A501" s="37"/>
      <c r="B501" s="198"/>
      <c r="C501" s="194"/>
    </row>
    <row r="502">
      <c r="A502" s="37"/>
      <c r="B502" s="198"/>
      <c r="C502" s="194"/>
    </row>
    <row r="503">
      <c r="A503" s="37"/>
      <c r="B503" s="198"/>
      <c r="C503" s="194"/>
    </row>
    <row r="504">
      <c r="A504" s="37"/>
      <c r="B504" s="198"/>
      <c r="C504" s="194"/>
    </row>
    <row r="505">
      <c r="A505" s="37"/>
      <c r="B505" s="198"/>
      <c r="C505" s="194"/>
    </row>
    <row r="506">
      <c r="A506" s="37"/>
      <c r="B506" s="198"/>
      <c r="C506" s="194"/>
    </row>
    <row r="507">
      <c r="A507" s="37"/>
      <c r="B507" s="198"/>
      <c r="C507" s="194"/>
    </row>
    <row r="508">
      <c r="A508" s="37"/>
      <c r="B508" s="198"/>
      <c r="C508" s="194"/>
    </row>
    <row r="509">
      <c r="A509" s="37"/>
      <c r="B509" s="198"/>
      <c r="C509" s="194"/>
    </row>
    <row r="510">
      <c r="A510" s="37"/>
      <c r="B510" s="198"/>
      <c r="C510" s="194"/>
    </row>
    <row r="511">
      <c r="A511" s="37"/>
      <c r="B511" s="198"/>
      <c r="C511" s="194"/>
    </row>
    <row r="512">
      <c r="A512" s="37"/>
      <c r="B512" s="198"/>
      <c r="C512" s="194"/>
    </row>
    <row r="513">
      <c r="A513" s="37"/>
      <c r="B513" s="198"/>
      <c r="C513" s="194"/>
    </row>
    <row r="514">
      <c r="A514" s="37"/>
      <c r="B514" s="198"/>
      <c r="C514" s="194"/>
    </row>
    <row r="515">
      <c r="A515" s="37"/>
      <c r="B515" s="198"/>
      <c r="C515" s="194"/>
    </row>
    <row r="516">
      <c r="A516" s="37"/>
      <c r="B516" s="198"/>
      <c r="C516" s="194"/>
    </row>
    <row r="517">
      <c r="A517" s="37"/>
      <c r="B517" s="198"/>
      <c r="C517" s="194"/>
    </row>
    <row r="518">
      <c r="A518" s="37"/>
      <c r="B518" s="198"/>
      <c r="C518" s="194"/>
    </row>
    <row r="519">
      <c r="A519" s="37"/>
      <c r="B519" s="198"/>
      <c r="C519" s="194"/>
    </row>
    <row r="520">
      <c r="A520" s="37"/>
      <c r="B520" s="198"/>
      <c r="C520" s="194"/>
    </row>
    <row r="521">
      <c r="A521" s="37"/>
      <c r="B521" s="198"/>
      <c r="C521" s="194"/>
    </row>
    <row r="522">
      <c r="A522" s="37"/>
      <c r="B522" s="198"/>
      <c r="C522" s="194"/>
    </row>
    <row r="523">
      <c r="A523" s="37"/>
      <c r="B523" s="198"/>
      <c r="C523" s="194"/>
    </row>
    <row r="524">
      <c r="A524" s="37"/>
      <c r="B524" s="198"/>
      <c r="C524" s="194"/>
    </row>
    <row r="525">
      <c r="A525" s="37"/>
      <c r="B525" s="198"/>
      <c r="C525" s="194"/>
    </row>
    <row r="526">
      <c r="A526" s="37"/>
      <c r="B526" s="198"/>
      <c r="C526" s="194"/>
    </row>
    <row r="527">
      <c r="A527" s="37"/>
      <c r="B527" s="198"/>
      <c r="C527" s="194"/>
    </row>
    <row r="528">
      <c r="A528" s="37"/>
      <c r="B528" s="198"/>
      <c r="C528" s="194"/>
    </row>
    <row r="529">
      <c r="A529" s="37"/>
      <c r="B529" s="198"/>
      <c r="C529" s="194"/>
    </row>
    <row r="530">
      <c r="A530" s="37"/>
      <c r="B530" s="198"/>
      <c r="C530" s="194"/>
    </row>
    <row r="531">
      <c r="A531" s="37"/>
      <c r="B531" s="198"/>
      <c r="C531" s="194"/>
    </row>
    <row r="532">
      <c r="A532" s="37"/>
      <c r="B532" s="198"/>
      <c r="C532" s="194"/>
    </row>
    <row r="533">
      <c r="A533" s="37"/>
      <c r="B533" s="198"/>
      <c r="C533" s="194"/>
    </row>
    <row r="534">
      <c r="A534" s="37"/>
      <c r="B534" s="198"/>
      <c r="C534" s="194"/>
    </row>
    <row r="535">
      <c r="A535" s="37"/>
      <c r="B535" s="198"/>
      <c r="C535" s="194"/>
    </row>
    <row r="536">
      <c r="A536" s="37"/>
      <c r="B536" s="198"/>
      <c r="C536" s="194"/>
    </row>
    <row r="537">
      <c r="A537" s="37"/>
      <c r="B537" s="198"/>
      <c r="C537" s="194"/>
    </row>
    <row r="538">
      <c r="A538" s="37"/>
      <c r="B538" s="198"/>
      <c r="C538" s="194"/>
    </row>
    <row r="539">
      <c r="A539" s="37"/>
      <c r="B539" s="198"/>
      <c r="C539" s="194"/>
    </row>
    <row r="540">
      <c r="A540" s="37"/>
      <c r="B540" s="198"/>
      <c r="C540" s="194"/>
    </row>
    <row r="541">
      <c r="A541" s="37"/>
      <c r="B541" s="198"/>
      <c r="C541" s="194"/>
    </row>
    <row r="542">
      <c r="A542" s="37"/>
      <c r="B542" s="198"/>
      <c r="C542" s="194"/>
    </row>
    <row r="543">
      <c r="A543" s="37"/>
      <c r="B543" s="198"/>
      <c r="C543" s="194"/>
    </row>
    <row r="544">
      <c r="A544" s="37"/>
      <c r="B544" s="198"/>
      <c r="C544" s="194"/>
    </row>
    <row r="545">
      <c r="A545" s="37"/>
      <c r="B545" s="198"/>
      <c r="C545" s="194"/>
    </row>
    <row r="546">
      <c r="A546" s="37"/>
      <c r="B546" s="198"/>
      <c r="C546" s="194"/>
    </row>
    <row r="547">
      <c r="A547" s="37"/>
      <c r="B547" s="198"/>
      <c r="C547" s="194"/>
    </row>
    <row r="548">
      <c r="A548" s="37"/>
      <c r="B548" s="198"/>
      <c r="C548" s="194"/>
    </row>
    <row r="549">
      <c r="A549" s="37"/>
      <c r="B549" s="198"/>
      <c r="C549" s="194"/>
    </row>
    <row r="550">
      <c r="A550" s="37"/>
      <c r="B550" s="198"/>
      <c r="C550" s="194"/>
    </row>
    <row r="551">
      <c r="A551" s="37"/>
      <c r="B551" s="198"/>
      <c r="C551" s="194"/>
    </row>
    <row r="552">
      <c r="A552" s="37"/>
      <c r="B552" s="198"/>
      <c r="C552" s="194"/>
    </row>
    <row r="553">
      <c r="A553" s="37"/>
      <c r="B553" s="198"/>
      <c r="C553" s="194"/>
    </row>
    <row r="554">
      <c r="A554" s="37"/>
      <c r="B554" s="198"/>
      <c r="C554" s="194"/>
    </row>
    <row r="555">
      <c r="A555" s="37"/>
      <c r="B555" s="198"/>
      <c r="C555" s="194"/>
    </row>
    <row r="556">
      <c r="A556" s="37"/>
      <c r="B556" s="198"/>
      <c r="C556" s="194"/>
    </row>
    <row r="557">
      <c r="A557" s="37"/>
      <c r="B557" s="198"/>
      <c r="C557" s="194"/>
    </row>
    <row r="558">
      <c r="A558" s="37"/>
      <c r="B558" s="198"/>
      <c r="C558" s="194"/>
    </row>
    <row r="559">
      <c r="A559" s="37"/>
      <c r="B559" s="198"/>
      <c r="C559" s="194"/>
    </row>
    <row r="560">
      <c r="A560" s="37"/>
      <c r="B560" s="198"/>
      <c r="C560" s="194"/>
    </row>
    <row r="561">
      <c r="A561" s="37"/>
      <c r="B561" s="198"/>
      <c r="C561" s="194"/>
    </row>
    <row r="562">
      <c r="A562" s="37"/>
      <c r="B562" s="198"/>
      <c r="C562" s="194"/>
    </row>
    <row r="563">
      <c r="A563" s="37"/>
      <c r="B563" s="198"/>
      <c r="C563" s="194"/>
    </row>
    <row r="564">
      <c r="A564" s="37"/>
      <c r="B564" s="198"/>
      <c r="C564" s="194"/>
    </row>
    <row r="565">
      <c r="A565" s="37"/>
      <c r="B565" s="198"/>
      <c r="C565" s="194"/>
    </row>
    <row r="566">
      <c r="A566" s="37"/>
      <c r="B566" s="198"/>
      <c r="C566" s="194"/>
    </row>
    <row r="567">
      <c r="A567" s="37"/>
      <c r="B567" s="198"/>
      <c r="C567" s="194"/>
    </row>
    <row r="568">
      <c r="A568" s="37"/>
      <c r="B568" s="198"/>
      <c r="C568" s="194"/>
    </row>
    <row r="569">
      <c r="A569" s="37"/>
      <c r="B569" s="198"/>
      <c r="C569" s="194"/>
    </row>
    <row r="570">
      <c r="A570" s="37"/>
      <c r="B570" s="198"/>
      <c r="C570" s="194"/>
    </row>
    <row r="571">
      <c r="A571" s="37"/>
      <c r="B571" s="198"/>
      <c r="C571" s="194"/>
    </row>
    <row r="572">
      <c r="A572" s="37"/>
      <c r="B572" s="198"/>
      <c r="C572" s="194"/>
    </row>
    <row r="573">
      <c r="A573" s="37"/>
      <c r="B573" s="198"/>
      <c r="C573" s="194"/>
    </row>
    <row r="574">
      <c r="A574" s="37"/>
      <c r="B574" s="198"/>
      <c r="C574" s="194"/>
    </row>
    <row r="575">
      <c r="A575" s="37"/>
      <c r="B575" s="198"/>
      <c r="C575" s="194"/>
    </row>
    <row r="576">
      <c r="A576" s="37"/>
      <c r="B576" s="198"/>
      <c r="C576" s="194"/>
    </row>
    <row r="577">
      <c r="A577" s="37"/>
      <c r="B577" s="198"/>
      <c r="C577" s="194"/>
    </row>
    <row r="578">
      <c r="A578" s="37"/>
      <c r="B578" s="198"/>
      <c r="C578" s="194"/>
    </row>
    <row r="579">
      <c r="A579" s="37"/>
      <c r="B579" s="198"/>
      <c r="C579" s="194"/>
    </row>
    <row r="580">
      <c r="A580" s="37"/>
      <c r="B580" s="198"/>
      <c r="C580" s="194"/>
    </row>
    <row r="581">
      <c r="A581" s="37"/>
      <c r="B581" s="198"/>
      <c r="C581" s="194"/>
    </row>
    <row r="582">
      <c r="A582" s="37"/>
      <c r="B582" s="198"/>
      <c r="C582" s="194"/>
    </row>
    <row r="583">
      <c r="A583" s="37"/>
      <c r="B583" s="198"/>
      <c r="C583" s="194"/>
    </row>
    <row r="584">
      <c r="A584" s="37"/>
      <c r="B584" s="198"/>
      <c r="C584" s="194"/>
    </row>
    <row r="585">
      <c r="A585" s="37"/>
      <c r="B585" s="198"/>
      <c r="C585" s="194"/>
    </row>
    <row r="586">
      <c r="A586" s="37"/>
      <c r="B586" s="198"/>
      <c r="C586" s="194"/>
    </row>
    <row r="587">
      <c r="A587" s="37"/>
      <c r="B587" s="198"/>
      <c r="C587" s="194"/>
    </row>
    <row r="588">
      <c r="A588" s="37"/>
      <c r="B588" s="198"/>
      <c r="C588" s="194"/>
    </row>
    <row r="589">
      <c r="A589" s="37"/>
      <c r="B589" s="198"/>
      <c r="C589" s="194"/>
    </row>
    <row r="590">
      <c r="A590" s="37"/>
      <c r="B590" s="198"/>
      <c r="C590" s="194"/>
    </row>
    <row r="591">
      <c r="A591" s="37"/>
      <c r="B591" s="198"/>
      <c r="C591" s="194"/>
    </row>
    <row r="592">
      <c r="A592" s="37"/>
      <c r="B592" s="198"/>
      <c r="C592" s="194"/>
    </row>
    <row r="593">
      <c r="A593" s="37"/>
      <c r="B593" s="198"/>
      <c r="C593" s="194"/>
    </row>
    <row r="594">
      <c r="A594" s="37"/>
      <c r="B594" s="198"/>
      <c r="C594" s="194"/>
    </row>
    <row r="595">
      <c r="A595" s="37"/>
      <c r="B595" s="198"/>
      <c r="C595" s="194"/>
    </row>
    <row r="596">
      <c r="A596" s="37"/>
      <c r="B596" s="198"/>
      <c r="C596" s="194"/>
    </row>
    <row r="597">
      <c r="A597" s="37"/>
      <c r="B597" s="198"/>
      <c r="C597" s="194"/>
    </row>
    <row r="598">
      <c r="A598" s="37"/>
      <c r="B598" s="198"/>
      <c r="C598" s="194"/>
    </row>
    <row r="599">
      <c r="A599" s="37"/>
      <c r="B599" s="198"/>
      <c r="C599" s="194"/>
    </row>
    <row r="600">
      <c r="A600" s="37"/>
      <c r="B600" s="198"/>
      <c r="C600" s="194"/>
    </row>
    <row r="601">
      <c r="A601" s="37"/>
      <c r="B601" s="198"/>
      <c r="C601" s="194"/>
    </row>
    <row r="602">
      <c r="A602" s="37"/>
      <c r="B602" s="198"/>
      <c r="C602" s="194"/>
    </row>
    <row r="603">
      <c r="A603" s="37"/>
      <c r="B603" s="198"/>
      <c r="C603" s="194"/>
    </row>
    <row r="604">
      <c r="A604" s="37"/>
      <c r="B604" s="198"/>
      <c r="C604" s="194"/>
    </row>
    <row r="605">
      <c r="A605" s="37"/>
      <c r="B605" s="198"/>
      <c r="C605" s="194"/>
    </row>
    <row r="606">
      <c r="A606" s="37"/>
      <c r="B606" s="198"/>
      <c r="C606" s="194"/>
    </row>
    <row r="607">
      <c r="A607" s="37"/>
      <c r="B607" s="198"/>
      <c r="C607" s="194"/>
    </row>
    <row r="608">
      <c r="A608" s="37"/>
      <c r="B608" s="198"/>
      <c r="C608" s="194"/>
    </row>
    <row r="609">
      <c r="A609" s="37"/>
      <c r="B609" s="198"/>
      <c r="C609" s="194"/>
    </row>
    <row r="610">
      <c r="A610" s="37"/>
      <c r="B610" s="198"/>
      <c r="C610" s="194"/>
    </row>
    <row r="611">
      <c r="A611" s="37"/>
      <c r="B611" s="198"/>
      <c r="C611" s="194"/>
    </row>
    <row r="612">
      <c r="A612" s="37"/>
      <c r="B612" s="198"/>
      <c r="C612" s="194"/>
    </row>
    <row r="613">
      <c r="A613" s="37"/>
      <c r="B613" s="198"/>
      <c r="C613" s="194"/>
    </row>
    <row r="614">
      <c r="A614" s="37"/>
      <c r="B614" s="198"/>
      <c r="C614" s="194"/>
    </row>
    <row r="615">
      <c r="A615" s="37"/>
      <c r="B615" s="198"/>
      <c r="C615" s="194"/>
    </row>
    <row r="616">
      <c r="A616" s="37"/>
      <c r="B616" s="198"/>
      <c r="C616" s="194"/>
    </row>
    <row r="617">
      <c r="A617" s="37"/>
      <c r="B617" s="198"/>
      <c r="C617" s="194"/>
    </row>
    <row r="618">
      <c r="A618" s="37"/>
      <c r="B618" s="198"/>
      <c r="C618" s="194"/>
    </row>
    <row r="619">
      <c r="A619" s="37"/>
      <c r="B619" s="198"/>
      <c r="C619" s="194"/>
    </row>
    <row r="620">
      <c r="A620" s="37"/>
      <c r="B620" s="198"/>
      <c r="C620" s="194"/>
    </row>
    <row r="621">
      <c r="A621" s="37"/>
      <c r="B621" s="198"/>
      <c r="C621" s="194"/>
    </row>
    <row r="622">
      <c r="A622" s="37"/>
      <c r="B622" s="198"/>
      <c r="C622" s="194"/>
    </row>
    <row r="623">
      <c r="A623" s="37"/>
      <c r="B623" s="198"/>
      <c r="C623" s="194"/>
    </row>
    <row r="624">
      <c r="A624" s="37"/>
      <c r="B624" s="198"/>
      <c r="C624" s="194"/>
    </row>
    <row r="625">
      <c r="A625" s="37"/>
      <c r="B625" s="198"/>
      <c r="C625" s="194"/>
    </row>
    <row r="626">
      <c r="A626" s="37"/>
      <c r="B626" s="198"/>
      <c r="C626" s="194"/>
    </row>
    <row r="627">
      <c r="A627" s="37"/>
      <c r="B627" s="198"/>
      <c r="C627" s="194"/>
    </row>
    <row r="628">
      <c r="A628" s="37"/>
      <c r="B628" s="198"/>
      <c r="C628" s="194"/>
    </row>
    <row r="629">
      <c r="A629" s="37"/>
      <c r="B629" s="198"/>
      <c r="C629" s="194"/>
    </row>
    <row r="630">
      <c r="A630" s="37"/>
      <c r="B630" s="198"/>
      <c r="C630" s="194"/>
    </row>
    <row r="631">
      <c r="A631" s="37"/>
      <c r="B631" s="198"/>
      <c r="C631" s="194"/>
    </row>
    <row r="632">
      <c r="A632" s="37"/>
      <c r="B632" s="198"/>
      <c r="C632" s="194"/>
    </row>
    <row r="633">
      <c r="A633" s="37"/>
      <c r="B633" s="198"/>
      <c r="C633" s="194"/>
    </row>
    <row r="634">
      <c r="A634" s="37"/>
      <c r="B634" s="198"/>
      <c r="C634" s="194"/>
    </row>
    <row r="635">
      <c r="A635" s="37"/>
      <c r="B635" s="198"/>
      <c r="C635" s="194"/>
    </row>
    <row r="636">
      <c r="A636" s="37"/>
      <c r="B636" s="198"/>
      <c r="C636" s="194"/>
    </row>
    <row r="637">
      <c r="A637" s="37"/>
      <c r="B637" s="198"/>
      <c r="C637" s="194"/>
    </row>
    <row r="638">
      <c r="A638" s="37"/>
      <c r="B638" s="198"/>
      <c r="C638" s="194"/>
    </row>
    <row r="639">
      <c r="A639" s="37"/>
      <c r="B639" s="198"/>
      <c r="C639" s="194"/>
    </row>
    <row r="640">
      <c r="A640" s="37"/>
      <c r="B640" s="198"/>
      <c r="C640" s="194"/>
    </row>
    <row r="641">
      <c r="A641" s="37"/>
      <c r="B641" s="198"/>
      <c r="C641" s="194"/>
    </row>
    <row r="642">
      <c r="A642" s="37"/>
      <c r="B642" s="198"/>
      <c r="C642" s="194"/>
    </row>
    <row r="643">
      <c r="A643" s="37"/>
      <c r="B643" s="198"/>
      <c r="C643" s="194"/>
    </row>
    <row r="644">
      <c r="A644" s="37"/>
      <c r="B644" s="198"/>
      <c r="C644" s="194"/>
    </row>
    <row r="645">
      <c r="A645" s="37"/>
      <c r="B645" s="198"/>
      <c r="C645" s="194"/>
    </row>
    <row r="646">
      <c r="A646" s="37"/>
      <c r="B646" s="198"/>
      <c r="C646" s="194"/>
    </row>
    <row r="647">
      <c r="A647" s="37"/>
      <c r="B647" s="198"/>
      <c r="C647" s="194"/>
    </row>
    <row r="648">
      <c r="A648" s="37"/>
      <c r="B648" s="198"/>
      <c r="C648" s="194"/>
    </row>
    <row r="649">
      <c r="A649" s="37"/>
      <c r="B649" s="198"/>
      <c r="C649" s="194"/>
    </row>
    <row r="650">
      <c r="A650" s="37"/>
      <c r="B650" s="198"/>
      <c r="C650" s="194"/>
    </row>
    <row r="651">
      <c r="A651" s="37"/>
      <c r="B651" s="198"/>
      <c r="C651" s="194"/>
    </row>
    <row r="652">
      <c r="A652" s="37"/>
      <c r="B652" s="198"/>
      <c r="C652" s="194"/>
    </row>
    <row r="653">
      <c r="A653" s="37"/>
      <c r="B653" s="198"/>
      <c r="C653" s="194"/>
    </row>
    <row r="654">
      <c r="A654" s="37"/>
      <c r="B654" s="198"/>
      <c r="C654" s="194"/>
    </row>
    <row r="655">
      <c r="A655" s="37"/>
      <c r="B655" s="198"/>
      <c r="C655" s="194"/>
    </row>
    <row r="656">
      <c r="A656" s="37"/>
      <c r="B656" s="198"/>
      <c r="C656" s="194"/>
    </row>
    <row r="657">
      <c r="A657" s="37"/>
      <c r="B657" s="198"/>
      <c r="C657" s="194"/>
    </row>
    <row r="658">
      <c r="A658" s="37"/>
      <c r="B658" s="198"/>
      <c r="C658" s="194"/>
    </row>
    <row r="659">
      <c r="A659" s="37"/>
      <c r="B659" s="198"/>
      <c r="C659" s="194"/>
    </row>
    <row r="660">
      <c r="A660" s="37"/>
      <c r="B660" s="198"/>
      <c r="C660" s="194"/>
    </row>
    <row r="661">
      <c r="A661" s="37"/>
      <c r="B661" s="198"/>
      <c r="C661" s="194"/>
    </row>
    <row r="662">
      <c r="A662" s="37"/>
      <c r="B662" s="198"/>
      <c r="C662" s="194"/>
    </row>
    <row r="663">
      <c r="A663" s="37"/>
      <c r="B663" s="198"/>
      <c r="C663" s="194"/>
    </row>
    <row r="664">
      <c r="A664" s="37"/>
      <c r="B664" s="198"/>
      <c r="C664" s="194"/>
    </row>
    <row r="665">
      <c r="A665" s="37"/>
      <c r="B665" s="198"/>
      <c r="C665" s="194"/>
    </row>
    <row r="666">
      <c r="A666" s="37"/>
      <c r="B666" s="198"/>
      <c r="C666" s="194"/>
    </row>
    <row r="667">
      <c r="A667" s="37"/>
      <c r="B667" s="198"/>
      <c r="C667" s="194"/>
    </row>
    <row r="668">
      <c r="A668" s="37"/>
      <c r="B668" s="198"/>
      <c r="C668" s="194"/>
    </row>
    <row r="669">
      <c r="A669" s="37"/>
      <c r="B669" s="198"/>
      <c r="C669" s="194"/>
    </row>
    <row r="670">
      <c r="A670" s="37"/>
      <c r="B670" s="198"/>
      <c r="C670" s="194"/>
    </row>
    <row r="671">
      <c r="A671" s="37"/>
      <c r="B671" s="198"/>
      <c r="C671" s="194"/>
    </row>
    <row r="672">
      <c r="A672" s="37"/>
      <c r="B672" s="198"/>
      <c r="C672" s="194"/>
    </row>
    <row r="673">
      <c r="A673" s="37"/>
      <c r="B673" s="198"/>
      <c r="C673" s="194"/>
    </row>
    <row r="674">
      <c r="A674" s="37"/>
      <c r="B674" s="198"/>
      <c r="C674" s="194"/>
    </row>
    <row r="675">
      <c r="A675" s="37"/>
      <c r="B675" s="198"/>
      <c r="C675" s="194"/>
    </row>
    <row r="676">
      <c r="A676" s="37"/>
      <c r="B676" s="198"/>
      <c r="C676" s="194"/>
    </row>
    <row r="677">
      <c r="A677" s="37"/>
      <c r="B677" s="198"/>
      <c r="C677" s="194"/>
    </row>
    <row r="678">
      <c r="A678" s="37"/>
      <c r="B678" s="198"/>
      <c r="C678" s="194"/>
    </row>
    <row r="679">
      <c r="A679" s="37"/>
      <c r="B679" s="198"/>
      <c r="C679" s="194"/>
    </row>
    <row r="680">
      <c r="A680" s="37"/>
      <c r="B680" s="198"/>
      <c r="C680" s="194"/>
    </row>
    <row r="681">
      <c r="A681" s="37"/>
      <c r="B681" s="198"/>
      <c r="C681" s="194"/>
    </row>
    <row r="682">
      <c r="A682" s="37"/>
      <c r="B682" s="198"/>
      <c r="C682" s="194"/>
    </row>
    <row r="683">
      <c r="A683" s="37"/>
      <c r="B683" s="198"/>
      <c r="C683" s="194"/>
    </row>
    <row r="684">
      <c r="A684" s="37"/>
      <c r="B684" s="198"/>
      <c r="C684" s="194"/>
    </row>
    <row r="685">
      <c r="A685" s="37"/>
      <c r="B685" s="198"/>
      <c r="C685" s="194"/>
    </row>
    <row r="686">
      <c r="A686" s="37"/>
      <c r="B686" s="198"/>
      <c r="C686" s="194"/>
    </row>
    <row r="687">
      <c r="A687" s="37"/>
      <c r="B687" s="198"/>
      <c r="C687" s="194"/>
    </row>
    <row r="688">
      <c r="A688" s="37"/>
      <c r="B688" s="198"/>
      <c r="C688" s="194"/>
    </row>
    <row r="689">
      <c r="A689" s="37"/>
      <c r="B689" s="198"/>
      <c r="C689" s="194"/>
    </row>
    <row r="690">
      <c r="A690" s="37"/>
      <c r="B690" s="198"/>
      <c r="C690" s="194"/>
    </row>
    <row r="691">
      <c r="A691" s="37"/>
      <c r="B691" s="198"/>
      <c r="C691" s="194"/>
    </row>
    <row r="692">
      <c r="A692" s="37"/>
      <c r="B692" s="198"/>
      <c r="C692" s="194"/>
    </row>
    <row r="693">
      <c r="A693" s="37"/>
      <c r="B693" s="198"/>
      <c r="C693" s="194"/>
    </row>
    <row r="694">
      <c r="A694" s="37"/>
      <c r="B694" s="198"/>
      <c r="C694" s="194"/>
    </row>
    <row r="695">
      <c r="A695" s="37"/>
      <c r="B695" s="198"/>
      <c r="C695" s="194"/>
    </row>
    <row r="696">
      <c r="A696" s="37"/>
      <c r="B696" s="198"/>
      <c r="C696" s="194"/>
    </row>
    <row r="697">
      <c r="A697" s="37"/>
      <c r="B697" s="198"/>
      <c r="C697" s="194"/>
    </row>
    <row r="698">
      <c r="A698" s="37"/>
      <c r="B698" s="198"/>
      <c r="C698" s="194"/>
    </row>
    <row r="699">
      <c r="A699" s="37"/>
      <c r="B699" s="198"/>
      <c r="C699" s="194"/>
    </row>
    <row r="700">
      <c r="A700" s="37"/>
      <c r="B700" s="198"/>
      <c r="C700" s="194"/>
    </row>
    <row r="701">
      <c r="A701" s="37"/>
      <c r="B701" s="198"/>
      <c r="C701" s="194"/>
    </row>
    <row r="702">
      <c r="A702" s="37"/>
      <c r="B702" s="198"/>
      <c r="C702" s="194"/>
    </row>
    <row r="703">
      <c r="A703" s="37"/>
      <c r="B703" s="198"/>
      <c r="C703" s="194"/>
    </row>
    <row r="704">
      <c r="A704" s="37"/>
      <c r="B704" s="198"/>
      <c r="C704" s="194"/>
    </row>
    <row r="705">
      <c r="A705" s="37"/>
      <c r="B705" s="198"/>
      <c r="C705" s="194"/>
    </row>
    <row r="706">
      <c r="A706" s="37"/>
      <c r="B706" s="198"/>
      <c r="C706" s="194"/>
    </row>
    <row r="707">
      <c r="A707" s="37"/>
      <c r="B707" s="198"/>
      <c r="C707" s="194"/>
    </row>
    <row r="708">
      <c r="A708" s="37"/>
      <c r="B708" s="198"/>
      <c r="C708" s="194"/>
    </row>
    <row r="709">
      <c r="A709" s="37"/>
      <c r="B709" s="198"/>
      <c r="C709" s="194"/>
    </row>
    <row r="710">
      <c r="A710" s="37"/>
      <c r="B710" s="198"/>
      <c r="C710" s="194"/>
    </row>
    <row r="711">
      <c r="A711" s="37"/>
      <c r="B711" s="198"/>
      <c r="C711" s="194"/>
    </row>
    <row r="712">
      <c r="A712" s="37"/>
      <c r="B712" s="198"/>
      <c r="C712" s="194"/>
    </row>
    <row r="713">
      <c r="A713" s="37"/>
      <c r="B713" s="198"/>
      <c r="C713" s="194"/>
    </row>
    <row r="714">
      <c r="A714" s="37"/>
      <c r="B714" s="198"/>
      <c r="C714" s="194"/>
    </row>
    <row r="715">
      <c r="A715" s="37"/>
      <c r="B715" s="198"/>
      <c r="C715" s="194"/>
    </row>
    <row r="716">
      <c r="A716" s="37"/>
      <c r="B716" s="198"/>
      <c r="C716" s="194"/>
    </row>
    <row r="717">
      <c r="A717" s="37"/>
      <c r="B717" s="198"/>
      <c r="C717" s="194"/>
    </row>
    <row r="718">
      <c r="A718" s="37"/>
      <c r="B718" s="198"/>
      <c r="C718" s="194"/>
    </row>
    <row r="719">
      <c r="A719" s="37"/>
      <c r="B719" s="198"/>
      <c r="C719" s="194"/>
    </row>
    <row r="720">
      <c r="A720" s="37"/>
      <c r="B720" s="198"/>
      <c r="C720" s="194"/>
    </row>
    <row r="721">
      <c r="A721" s="37"/>
      <c r="B721" s="198"/>
      <c r="C721" s="194"/>
    </row>
    <row r="722">
      <c r="A722" s="37"/>
      <c r="B722" s="198"/>
      <c r="C722" s="194"/>
    </row>
    <row r="723">
      <c r="A723" s="37"/>
      <c r="B723" s="198"/>
      <c r="C723" s="194"/>
    </row>
    <row r="724">
      <c r="A724" s="37"/>
      <c r="B724" s="198"/>
      <c r="C724" s="194"/>
    </row>
    <row r="725">
      <c r="A725" s="37"/>
      <c r="B725" s="198"/>
      <c r="C725" s="194"/>
    </row>
    <row r="726">
      <c r="A726" s="37"/>
      <c r="B726" s="198"/>
      <c r="C726" s="194"/>
    </row>
    <row r="727">
      <c r="A727" s="37"/>
      <c r="B727" s="198"/>
      <c r="C727" s="194"/>
    </row>
    <row r="728">
      <c r="A728" s="37"/>
      <c r="B728" s="198"/>
      <c r="C728" s="194"/>
    </row>
    <row r="729">
      <c r="A729" s="37"/>
      <c r="B729" s="198"/>
      <c r="C729" s="194"/>
    </row>
    <row r="730">
      <c r="A730" s="37"/>
      <c r="B730" s="198"/>
      <c r="C730" s="194"/>
    </row>
    <row r="731">
      <c r="A731" s="37"/>
      <c r="B731" s="198"/>
      <c r="C731" s="194"/>
    </row>
    <row r="732">
      <c r="A732" s="37"/>
      <c r="B732" s="198"/>
      <c r="C732" s="194"/>
    </row>
    <row r="733">
      <c r="A733" s="37"/>
      <c r="B733" s="198"/>
      <c r="C733" s="194"/>
    </row>
    <row r="734">
      <c r="A734" s="37"/>
      <c r="B734" s="198"/>
      <c r="C734" s="194"/>
    </row>
    <row r="735">
      <c r="A735" s="37"/>
      <c r="B735" s="198"/>
      <c r="C735" s="194"/>
    </row>
    <row r="736">
      <c r="A736" s="37"/>
      <c r="B736" s="198"/>
      <c r="C736" s="194"/>
    </row>
    <row r="737">
      <c r="A737" s="37"/>
      <c r="B737" s="198"/>
      <c r="C737" s="194"/>
    </row>
    <row r="738">
      <c r="A738" s="37"/>
      <c r="B738" s="198"/>
      <c r="C738" s="194"/>
    </row>
    <row r="739">
      <c r="A739" s="37"/>
      <c r="B739" s="198"/>
      <c r="C739" s="194"/>
    </row>
    <row r="740">
      <c r="A740" s="37"/>
      <c r="B740" s="198"/>
      <c r="C740" s="194"/>
    </row>
    <row r="741">
      <c r="A741" s="37"/>
      <c r="B741" s="198"/>
      <c r="C741" s="194"/>
    </row>
    <row r="742">
      <c r="A742" s="37"/>
      <c r="B742" s="198"/>
      <c r="C742" s="194"/>
    </row>
    <row r="743">
      <c r="A743" s="37"/>
      <c r="B743" s="198"/>
      <c r="C743" s="194"/>
    </row>
    <row r="744">
      <c r="A744" s="37"/>
      <c r="B744" s="198"/>
      <c r="C744" s="194"/>
    </row>
    <row r="745">
      <c r="A745" s="37"/>
      <c r="B745" s="198"/>
      <c r="C745" s="194"/>
    </row>
    <row r="746">
      <c r="A746" s="37"/>
      <c r="B746" s="198"/>
      <c r="C746" s="194"/>
    </row>
    <row r="747">
      <c r="A747" s="37"/>
      <c r="B747" s="198"/>
      <c r="C747" s="194"/>
    </row>
    <row r="748">
      <c r="A748" s="37"/>
      <c r="B748" s="198"/>
      <c r="C748" s="194"/>
    </row>
    <row r="749">
      <c r="A749" s="37"/>
      <c r="B749" s="198"/>
      <c r="C749" s="194"/>
    </row>
    <row r="750">
      <c r="A750" s="37"/>
      <c r="B750" s="198"/>
      <c r="C750" s="194"/>
    </row>
    <row r="751">
      <c r="A751" s="37"/>
      <c r="B751" s="198"/>
      <c r="C751" s="194"/>
    </row>
    <row r="752">
      <c r="A752" s="37"/>
      <c r="B752" s="198"/>
      <c r="C752" s="194"/>
    </row>
    <row r="753">
      <c r="A753" s="37"/>
      <c r="B753" s="198"/>
      <c r="C753" s="194"/>
    </row>
    <row r="754">
      <c r="A754" s="37"/>
      <c r="B754" s="198"/>
      <c r="C754" s="194"/>
    </row>
    <row r="755">
      <c r="A755" s="37"/>
      <c r="B755" s="198"/>
      <c r="C755" s="194"/>
    </row>
    <row r="756">
      <c r="A756" s="37"/>
      <c r="B756" s="198"/>
      <c r="C756" s="194"/>
    </row>
    <row r="757">
      <c r="A757" s="37"/>
      <c r="B757" s="198"/>
      <c r="C757" s="194"/>
    </row>
    <row r="758">
      <c r="A758" s="37"/>
      <c r="B758" s="198"/>
      <c r="C758" s="194"/>
    </row>
    <row r="759">
      <c r="A759" s="37"/>
      <c r="B759" s="198"/>
      <c r="C759" s="194"/>
    </row>
    <row r="760">
      <c r="A760" s="37"/>
      <c r="B760" s="198"/>
      <c r="C760" s="194"/>
    </row>
    <row r="761">
      <c r="A761" s="37"/>
      <c r="B761" s="198"/>
      <c r="C761" s="194"/>
    </row>
    <row r="762">
      <c r="A762" s="37"/>
      <c r="B762" s="198"/>
      <c r="C762" s="194"/>
    </row>
    <row r="763">
      <c r="A763" s="37"/>
      <c r="B763" s="198"/>
      <c r="C763" s="194"/>
    </row>
    <row r="764">
      <c r="A764" s="37"/>
      <c r="B764" s="198"/>
      <c r="C764" s="194"/>
    </row>
    <row r="765">
      <c r="A765" s="37"/>
      <c r="B765" s="198"/>
      <c r="C765" s="194"/>
    </row>
    <row r="766">
      <c r="A766" s="37"/>
      <c r="B766" s="198"/>
      <c r="C766" s="194"/>
    </row>
    <row r="767">
      <c r="A767" s="37"/>
      <c r="B767" s="198"/>
      <c r="C767" s="194"/>
    </row>
    <row r="768">
      <c r="A768" s="37"/>
      <c r="B768" s="198"/>
      <c r="C768" s="194"/>
    </row>
    <row r="769">
      <c r="A769" s="37"/>
      <c r="B769" s="198"/>
      <c r="C769" s="194"/>
    </row>
    <row r="770">
      <c r="A770" s="37"/>
      <c r="B770" s="198"/>
      <c r="C770" s="194"/>
    </row>
    <row r="771">
      <c r="A771" s="37"/>
      <c r="B771" s="198"/>
      <c r="C771" s="194"/>
    </row>
    <row r="772">
      <c r="A772" s="37"/>
      <c r="B772" s="198"/>
      <c r="C772" s="194"/>
    </row>
    <row r="773">
      <c r="A773" s="37"/>
      <c r="B773" s="198"/>
      <c r="C773" s="194"/>
    </row>
    <row r="774">
      <c r="A774" s="37"/>
      <c r="B774" s="198"/>
      <c r="C774" s="194"/>
    </row>
    <row r="775">
      <c r="A775" s="37"/>
      <c r="B775" s="198"/>
      <c r="C775" s="194"/>
    </row>
    <row r="776">
      <c r="A776" s="37"/>
      <c r="B776" s="198"/>
      <c r="C776" s="194"/>
    </row>
    <row r="777">
      <c r="A777" s="37"/>
      <c r="B777" s="198"/>
      <c r="C777" s="194"/>
    </row>
    <row r="778">
      <c r="A778" s="37"/>
      <c r="B778" s="198"/>
      <c r="C778" s="194"/>
    </row>
    <row r="779">
      <c r="A779" s="37"/>
      <c r="B779" s="198"/>
      <c r="C779" s="194"/>
    </row>
    <row r="780">
      <c r="A780" s="37"/>
      <c r="B780" s="198"/>
      <c r="C780" s="194"/>
    </row>
    <row r="781">
      <c r="A781" s="37"/>
      <c r="B781" s="198"/>
      <c r="C781" s="194"/>
    </row>
    <row r="782">
      <c r="A782" s="37"/>
      <c r="B782" s="198"/>
      <c r="C782" s="194"/>
    </row>
    <row r="783">
      <c r="A783" s="37"/>
      <c r="B783" s="198"/>
      <c r="C783" s="194"/>
    </row>
    <row r="784">
      <c r="A784" s="37"/>
      <c r="B784" s="198"/>
      <c r="C784" s="194"/>
    </row>
    <row r="785">
      <c r="A785" s="37"/>
      <c r="B785" s="198"/>
      <c r="C785" s="194"/>
    </row>
    <row r="786">
      <c r="A786" s="37"/>
      <c r="B786" s="198"/>
      <c r="C786" s="194"/>
    </row>
    <row r="787">
      <c r="A787" s="37"/>
      <c r="B787" s="198"/>
      <c r="C787" s="194"/>
    </row>
    <row r="788">
      <c r="A788" s="37"/>
      <c r="B788" s="198"/>
      <c r="C788" s="194"/>
    </row>
    <row r="789">
      <c r="A789" s="37"/>
      <c r="B789" s="198"/>
      <c r="C789" s="194"/>
    </row>
    <row r="790">
      <c r="A790" s="37"/>
      <c r="B790" s="198"/>
      <c r="C790" s="194"/>
    </row>
    <row r="791">
      <c r="A791" s="37"/>
      <c r="B791" s="198"/>
      <c r="C791" s="194"/>
    </row>
    <row r="792">
      <c r="A792" s="37"/>
      <c r="B792" s="198"/>
      <c r="C792" s="194"/>
    </row>
    <row r="793">
      <c r="A793" s="37"/>
      <c r="B793" s="198"/>
      <c r="C793" s="194"/>
    </row>
    <row r="794">
      <c r="A794" s="37"/>
      <c r="B794" s="198"/>
      <c r="C794" s="194"/>
    </row>
    <row r="795">
      <c r="A795" s="37"/>
      <c r="B795" s="198"/>
      <c r="C795" s="194"/>
    </row>
    <row r="796">
      <c r="A796" s="37"/>
      <c r="B796" s="198"/>
      <c r="C796" s="194"/>
    </row>
    <row r="797">
      <c r="A797" s="37"/>
      <c r="B797" s="198"/>
      <c r="C797" s="194"/>
    </row>
    <row r="798">
      <c r="A798" s="37"/>
      <c r="B798" s="198"/>
      <c r="C798" s="194"/>
    </row>
    <row r="799">
      <c r="A799" s="37"/>
      <c r="B799" s="198"/>
      <c r="C799" s="194"/>
    </row>
    <row r="800">
      <c r="A800" s="37"/>
      <c r="B800" s="198"/>
      <c r="C800" s="194"/>
    </row>
    <row r="801">
      <c r="A801" s="37"/>
      <c r="B801" s="198"/>
      <c r="C801" s="194"/>
    </row>
    <row r="802">
      <c r="A802" s="37"/>
      <c r="B802" s="198"/>
      <c r="C802" s="194"/>
    </row>
    <row r="803">
      <c r="A803" s="37"/>
      <c r="B803" s="198"/>
      <c r="C803" s="194"/>
    </row>
    <row r="804">
      <c r="A804" s="37"/>
      <c r="B804" s="198"/>
      <c r="C804" s="194"/>
    </row>
    <row r="805">
      <c r="A805" s="37"/>
      <c r="B805" s="198"/>
      <c r="C805" s="194"/>
    </row>
    <row r="806">
      <c r="A806" s="37"/>
      <c r="B806" s="198"/>
      <c r="C806" s="194"/>
    </row>
    <row r="807">
      <c r="A807" s="37"/>
      <c r="B807" s="198"/>
      <c r="C807" s="194"/>
    </row>
    <row r="808">
      <c r="A808" s="37"/>
      <c r="B808" s="198"/>
      <c r="C808" s="194"/>
    </row>
    <row r="809">
      <c r="A809" s="37"/>
      <c r="B809" s="198"/>
      <c r="C809" s="194"/>
    </row>
    <row r="810">
      <c r="A810" s="37"/>
      <c r="B810" s="198"/>
      <c r="C810" s="194"/>
    </row>
    <row r="811">
      <c r="A811" s="37"/>
      <c r="B811" s="198"/>
      <c r="C811" s="194"/>
    </row>
    <row r="812">
      <c r="A812" s="37"/>
      <c r="B812" s="198"/>
      <c r="C812" s="194"/>
    </row>
    <row r="813">
      <c r="A813" s="37"/>
      <c r="B813" s="198"/>
      <c r="C813" s="194"/>
    </row>
    <row r="814">
      <c r="A814" s="37"/>
      <c r="B814" s="198"/>
      <c r="C814" s="194"/>
    </row>
    <row r="815">
      <c r="A815" s="37"/>
      <c r="B815" s="198"/>
      <c r="C815" s="194"/>
    </row>
    <row r="816">
      <c r="A816" s="37"/>
      <c r="B816" s="198"/>
      <c r="C816" s="194"/>
    </row>
    <row r="817">
      <c r="A817" s="37"/>
      <c r="B817" s="198"/>
      <c r="C817" s="194"/>
    </row>
    <row r="818">
      <c r="A818" s="37"/>
      <c r="B818" s="198"/>
      <c r="C818" s="194"/>
    </row>
    <row r="819">
      <c r="A819" s="37"/>
      <c r="B819" s="198"/>
      <c r="C819" s="194"/>
    </row>
    <row r="820">
      <c r="A820" s="37"/>
      <c r="B820" s="198"/>
      <c r="C820" s="194"/>
    </row>
    <row r="821">
      <c r="A821" s="37"/>
      <c r="B821" s="198"/>
      <c r="C821" s="194"/>
    </row>
    <row r="822">
      <c r="A822" s="37"/>
      <c r="B822" s="198"/>
      <c r="C822" s="194"/>
    </row>
    <row r="823">
      <c r="A823" s="37"/>
      <c r="B823" s="198"/>
      <c r="C823" s="194"/>
    </row>
    <row r="824">
      <c r="A824" s="37"/>
      <c r="B824" s="198"/>
      <c r="C824" s="194"/>
    </row>
    <row r="825">
      <c r="A825" s="37"/>
      <c r="B825" s="198"/>
      <c r="C825" s="194"/>
    </row>
    <row r="826">
      <c r="A826" s="37"/>
      <c r="B826" s="198"/>
      <c r="C826" s="194"/>
    </row>
    <row r="827">
      <c r="A827" s="37"/>
      <c r="B827" s="198"/>
      <c r="C827" s="194"/>
    </row>
    <row r="828">
      <c r="A828" s="37"/>
      <c r="B828" s="198"/>
      <c r="C828" s="194"/>
    </row>
    <row r="829">
      <c r="A829" s="37"/>
      <c r="B829" s="198"/>
      <c r="C829" s="194"/>
    </row>
    <row r="830">
      <c r="A830" s="37"/>
      <c r="B830" s="198"/>
      <c r="C830" s="194"/>
    </row>
    <row r="831">
      <c r="A831" s="37"/>
      <c r="B831" s="198"/>
      <c r="C831" s="194"/>
    </row>
    <row r="832">
      <c r="A832" s="37"/>
      <c r="B832" s="198"/>
      <c r="C832" s="194"/>
    </row>
    <row r="833">
      <c r="A833" s="37"/>
      <c r="B833" s="198"/>
      <c r="C833" s="194"/>
    </row>
    <row r="834">
      <c r="A834" s="37"/>
      <c r="B834" s="198"/>
      <c r="C834" s="194"/>
    </row>
    <row r="835">
      <c r="A835" s="37"/>
      <c r="B835" s="198"/>
      <c r="C835" s="194"/>
    </row>
    <row r="836">
      <c r="A836" s="37"/>
      <c r="B836" s="198"/>
      <c r="C836" s="194"/>
    </row>
    <row r="837">
      <c r="A837" s="37"/>
      <c r="B837" s="198"/>
      <c r="C837" s="194"/>
    </row>
    <row r="838">
      <c r="A838" s="37"/>
      <c r="B838" s="198"/>
      <c r="C838" s="194"/>
    </row>
    <row r="839">
      <c r="A839" s="37"/>
      <c r="B839" s="198"/>
      <c r="C839" s="194"/>
    </row>
    <row r="840">
      <c r="A840" s="37"/>
      <c r="B840" s="198"/>
      <c r="C840" s="194"/>
    </row>
    <row r="841">
      <c r="A841" s="37"/>
      <c r="B841" s="198"/>
      <c r="C841" s="194"/>
    </row>
    <row r="842">
      <c r="A842" s="37"/>
      <c r="B842" s="198"/>
      <c r="C842" s="194"/>
    </row>
    <row r="843">
      <c r="A843" s="37"/>
      <c r="B843" s="198"/>
      <c r="C843" s="194"/>
    </row>
    <row r="844">
      <c r="A844" s="37"/>
      <c r="B844" s="198"/>
      <c r="C844" s="194"/>
    </row>
    <row r="845">
      <c r="A845" s="37"/>
      <c r="B845" s="198"/>
      <c r="C845" s="194"/>
    </row>
    <row r="846">
      <c r="A846" s="37"/>
      <c r="B846" s="198"/>
      <c r="C846" s="194"/>
    </row>
    <row r="847">
      <c r="A847" s="37"/>
      <c r="B847" s="198"/>
      <c r="C847" s="194"/>
    </row>
    <row r="848">
      <c r="A848" s="37"/>
      <c r="B848" s="198"/>
      <c r="C848" s="194"/>
    </row>
    <row r="849">
      <c r="A849" s="37"/>
      <c r="B849" s="198"/>
      <c r="C849" s="194"/>
    </row>
    <row r="850">
      <c r="A850" s="37"/>
      <c r="B850" s="198"/>
      <c r="C850" s="194"/>
    </row>
    <row r="851">
      <c r="A851" s="37"/>
      <c r="B851" s="198"/>
      <c r="C851" s="194"/>
    </row>
    <row r="852">
      <c r="A852" s="37"/>
      <c r="B852" s="198"/>
      <c r="C852" s="194"/>
    </row>
    <row r="853">
      <c r="A853" s="37"/>
      <c r="B853" s="198"/>
      <c r="C853" s="194"/>
    </row>
    <row r="854">
      <c r="A854" s="37"/>
      <c r="B854" s="198"/>
      <c r="C854" s="194"/>
    </row>
    <row r="855">
      <c r="A855" s="37"/>
      <c r="B855" s="198"/>
      <c r="C855" s="194"/>
    </row>
    <row r="856">
      <c r="A856" s="37"/>
      <c r="B856" s="198"/>
      <c r="C856" s="194"/>
    </row>
    <row r="857">
      <c r="A857" s="37"/>
      <c r="B857" s="198"/>
      <c r="C857" s="194"/>
    </row>
    <row r="858">
      <c r="A858" s="37"/>
      <c r="B858" s="198"/>
      <c r="C858" s="194"/>
    </row>
    <row r="859">
      <c r="A859" s="37"/>
      <c r="B859" s="198"/>
      <c r="C859" s="194"/>
    </row>
    <row r="860">
      <c r="A860" s="37"/>
      <c r="B860" s="198"/>
      <c r="C860" s="194"/>
    </row>
    <row r="861">
      <c r="A861" s="37"/>
      <c r="B861" s="198"/>
      <c r="C861" s="194"/>
    </row>
    <row r="862">
      <c r="A862" s="37"/>
      <c r="B862" s="198"/>
      <c r="C862" s="194"/>
    </row>
    <row r="863">
      <c r="A863" s="37"/>
      <c r="B863" s="198"/>
      <c r="C863" s="194"/>
    </row>
    <row r="864">
      <c r="A864" s="37"/>
      <c r="B864" s="198"/>
      <c r="C864" s="194"/>
    </row>
    <row r="865">
      <c r="A865" s="37"/>
      <c r="B865" s="198"/>
      <c r="C865" s="194"/>
    </row>
    <row r="866">
      <c r="A866" s="37"/>
      <c r="B866" s="198"/>
      <c r="C866" s="194"/>
    </row>
    <row r="867">
      <c r="A867" s="37"/>
      <c r="B867" s="198"/>
      <c r="C867" s="194"/>
    </row>
    <row r="868">
      <c r="A868" s="37"/>
      <c r="B868" s="198"/>
      <c r="C868" s="194"/>
    </row>
    <row r="869">
      <c r="A869" s="37"/>
      <c r="B869" s="198"/>
      <c r="C869" s="194"/>
    </row>
    <row r="870">
      <c r="A870" s="37"/>
      <c r="B870" s="198"/>
      <c r="C870" s="194"/>
    </row>
    <row r="871">
      <c r="A871" s="37"/>
      <c r="B871" s="198"/>
      <c r="C871" s="194"/>
    </row>
    <row r="872">
      <c r="A872" s="37"/>
      <c r="B872" s="198"/>
      <c r="C872" s="194"/>
    </row>
    <row r="873">
      <c r="A873" s="37"/>
      <c r="B873" s="198"/>
      <c r="C873" s="194"/>
    </row>
    <row r="874">
      <c r="A874" s="37"/>
      <c r="B874" s="198"/>
      <c r="C874" s="194"/>
    </row>
    <row r="875">
      <c r="A875" s="37"/>
      <c r="B875" s="198"/>
      <c r="C875" s="194"/>
    </row>
    <row r="876">
      <c r="A876" s="37"/>
      <c r="B876" s="198"/>
      <c r="C876" s="194"/>
    </row>
    <row r="877">
      <c r="A877" s="37"/>
      <c r="B877" s="198"/>
      <c r="C877" s="194"/>
    </row>
    <row r="878">
      <c r="A878" s="37"/>
      <c r="B878" s="198"/>
      <c r="C878" s="194"/>
    </row>
    <row r="879">
      <c r="A879" s="37"/>
      <c r="B879" s="198"/>
      <c r="C879" s="194"/>
    </row>
    <row r="880">
      <c r="A880" s="37"/>
      <c r="B880" s="198"/>
      <c r="C880" s="194"/>
    </row>
    <row r="881">
      <c r="A881" s="37"/>
      <c r="B881" s="198"/>
      <c r="C881" s="194"/>
    </row>
    <row r="882">
      <c r="A882" s="37"/>
      <c r="B882" s="198"/>
      <c r="C882" s="194"/>
    </row>
    <row r="883">
      <c r="A883" s="37"/>
      <c r="B883" s="198"/>
      <c r="C883" s="194"/>
    </row>
    <row r="884">
      <c r="A884" s="37"/>
      <c r="B884" s="198"/>
      <c r="C884" s="194"/>
    </row>
    <row r="885">
      <c r="A885" s="37"/>
      <c r="B885" s="198"/>
      <c r="C885" s="194"/>
    </row>
    <row r="886">
      <c r="A886" s="37"/>
      <c r="B886" s="198"/>
      <c r="C886" s="194"/>
    </row>
    <row r="887">
      <c r="A887" s="37"/>
      <c r="B887" s="198"/>
      <c r="C887" s="194"/>
    </row>
    <row r="888">
      <c r="A888" s="37"/>
      <c r="B888" s="198"/>
      <c r="C888" s="194"/>
    </row>
    <row r="889">
      <c r="A889" s="37"/>
      <c r="B889" s="198"/>
      <c r="C889" s="194"/>
    </row>
    <row r="890">
      <c r="A890" s="37"/>
      <c r="B890" s="198"/>
      <c r="C890" s="194"/>
    </row>
    <row r="891">
      <c r="A891" s="37"/>
      <c r="B891" s="198"/>
      <c r="C891" s="194"/>
    </row>
    <row r="892">
      <c r="A892" s="37"/>
      <c r="B892" s="198"/>
      <c r="C892" s="194"/>
    </row>
    <row r="893">
      <c r="A893" s="37"/>
      <c r="B893" s="198"/>
      <c r="C893" s="194"/>
    </row>
    <row r="894">
      <c r="A894" s="37"/>
      <c r="B894" s="198"/>
      <c r="C894" s="194"/>
    </row>
    <row r="895">
      <c r="A895" s="37"/>
      <c r="B895" s="198"/>
      <c r="C895" s="194"/>
    </row>
    <row r="896">
      <c r="A896" s="37"/>
      <c r="B896" s="198"/>
      <c r="C896" s="194"/>
    </row>
    <row r="897">
      <c r="A897" s="37"/>
      <c r="B897" s="198"/>
      <c r="C897" s="194"/>
    </row>
    <row r="898">
      <c r="A898" s="37"/>
      <c r="B898" s="198"/>
      <c r="C898" s="194"/>
    </row>
    <row r="899">
      <c r="A899" s="37"/>
      <c r="B899" s="198"/>
      <c r="C899" s="194"/>
    </row>
    <row r="900">
      <c r="A900" s="37"/>
      <c r="B900" s="198"/>
      <c r="C900" s="194"/>
    </row>
    <row r="901">
      <c r="A901" s="37"/>
      <c r="B901" s="198"/>
      <c r="C901" s="194"/>
    </row>
    <row r="902">
      <c r="A902" s="37"/>
      <c r="B902" s="198"/>
      <c r="C902" s="194"/>
    </row>
    <row r="903">
      <c r="A903" s="37"/>
      <c r="B903" s="198"/>
      <c r="C903" s="194"/>
    </row>
    <row r="904">
      <c r="A904" s="37"/>
      <c r="B904" s="198"/>
      <c r="C904" s="194"/>
    </row>
    <row r="905">
      <c r="A905" s="37"/>
      <c r="B905" s="198"/>
      <c r="C905" s="194"/>
    </row>
    <row r="906">
      <c r="A906" s="37"/>
      <c r="B906" s="198"/>
      <c r="C906" s="194"/>
    </row>
    <row r="907">
      <c r="A907" s="37"/>
      <c r="B907" s="198"/>
      <c r="C907" s="194"/>
    </row>
    <row r="908">
      <c r="A908" s="37"/>
      <c r="B908" s="198"/>
      <c r="C908" s="194"/>
    </row>
    <row r="909">
      <c r="A909" s="37"/>
      <c r="B909" s="198"/>
      <c r="C909" s="194"/>
    </row>
    <row r="910">
      <c r="A910" s="37"/>
      <c r="B910" s="198"/>
      <c r="C910" s="194"/>
    </row>
    <row r="911">
      <c r="A911" s="37"/>
      <c r="B911" s="198"/>
      <c r="C911" s="194"/>
    </row>
    <row r="912">
      <c r="A912" s="37"/>
      <c r="B912" s="198"/>
      <c r="C912" s="194"/>
    </row>
    <row r="913">
      <c r="A913" s="37"/>
      <c r="B913" s="198"/>
      <c r="C913" s="194"/>
    </row>
    <row r="914">
      <c r="A914" s="37"/>
      <c r="B914" s="198"/>
      <c r="C914" s="194"/>
    </row>
    <row r="915">
      <c r="A915" s="37"/>
      <c r="B915" s="198"/>
      <c r="C915" s="194"/>
    </row>
    <row r="916">
      <c r="A916" s="37"/>
      <c r="B916" s="198"/>
      <c r="C916" s="194"/>
    </row>
    <row r="917">
      <c r="A917" s="37"/>
      <c r="B917" s="198"/>
      <c r="C917" s="194"/>
    </row>
    <row r="918">
      <c r="A918" s="37"/>
      <c r="B918" s="198"/>
      <c r="C918" s="194"/>
    </row>
    <row r="919">
      <c r="A919" s="37"/>
      <c r="B919" s="198"/>
      <c r="C919" s="194"/>
    </row>
    <row r="920">
      <c r="A920" s="37"/>
      <c r="B920" s="198"/>
      <c r="C920" s="194"/>
    </row>
    <row r="921">
      <c r="A921" s="37"/>
      <c r="B921" s="198"/>
      <c r="C921" s="194"/>
    </row>
    <row r="922">
      <c r="A922" s="37"/>
      <c r="B922" s="198"/>
      <c r="C922" s="194"/>
    </row>
    <row r="923">
      <c r="A923" s="37"/>
      <c r="B923" s="198"/>
      <c r="C923" s="194"/>
    </row>
    <row r="924">
      <c r="A924" s="37"/>
      <c r="B924" s="198"/>
      <c r="C924" s="194"/>
    </row>
    <row r="925">
      <c r="A925" s="37"/>
      <c r="B925" s="198"/>
      <c r="C925" s="194"/>
    </row>
    <row r="926">
      <c r="A926" s="37"/>
      <c r="B926" s="198"/>
      <c r="C926" s="194"/>
    </row>
    <row r="927">
      <c r="A927" s="37"/>
      <c r="B927" s="198"/>
      <c r="C927" s="194"/>
    </row>
    <row r="928">
      <c r="A928" s="37"/>
      <c r="B928" s="198"/>
      <c r="C928" s="194"/>
    </row>
    <row r="929">
      <c r="A929" s="37"/>
      <c r="B929" s="198"/>
      <c r="C929" s="194"/>
    </row>
    <row r="930">
      <c r="A930" s="37"/>
      <c r="B930" s="198"/>
      <c r="C930" s="194"/>
    </row>
    <row r="931">
      <c r="A931" s="37"/>
      <c r="B931" s="198"/>
      <c r="C931" s="194"/>
    </row>
    <row r="932">
      <c r="A932" s="37"/>
      <c r="B932" s="198"/>
      <c r="C932" s="194"/>
    </row>
    <row r="933">
      <c r="A933" s="37"/>
      <c r="B933" s="198"/>
      <c r="C933" s="194"/>
    </row>
    <row r="934">
      <c r="A934" s="37"/>
      <c r="B934" s="198"/>
      <c r="C934" s="194"/>
    </row>
    <row r="935">
      <c r="A935" s="37"/>
      <c r="B935" s="198"/>
      <c r="C935" s="194"/>
    </row>
    <row r="936">
      <c r="A936" s="37"/>
      <c r="B936" s="198"/>
      <c r="C936" s="194"/>
    </row>
    <row r="937">
      <c r="A937" s="37"/>
      <c r="B937" s="198"/>
      <c r="C937" s="194"/>
    </row>
    <row r="938">
      <c r="A938" s="37"/>
      <c r="B938" s="198"/>
      <c r="C938" s="194"/>
    </row>
    <row r="939">
      <c r="A939" s="37"/>
      <c r="B939" s="198"/>
      <c r="C939" s="194"/>
    </row>
    <row r="940">
      <c r="A940" s="37"/>
      <c r="B940" s="198"/>
      <c r="C940" s="194"/>
    </row>
    <row r="941">
      <c r="A941" s="37"/>
      <c r="B941" s="198"/>
      <c r="C941" s="194"/>
    </row>
    <row r="942">
      <c r="A942" s="37"/>
      <c r="B942" s="198"/>
      <c r="C942" s="194"/>
    </row>
    <row r="943">
      <c r="A943" s="37"/>
      <c r="B943" s="198"/>
      <c r="C943" s="194"/>
    </row>
    <row r="944">
      <c r="A944" s="37"/>
      <c r="B944" s="198"/>
      <c r="C944" s="194"/>
    </row>
    <row r="945">
      <c r="A945" s="37"/>
      <c r="B945" s="198"/>
      <c r="C945" s="194"/>
    </row>
    <row r="946">
      <c r="A946" s="37"/>
      <c r="B946" s="198"/>
      <c r="C946" s="194"/>
    </row>
    <row r="947">
      <c r="A947" s="37"/>
      <c r="B947" s="198"/>
      <c r="C947" s="194"/>
    </row>
    <row r="948">
      <c r="A948" s="37"/>
      <c r="B948" s="198"/>
      <c r="C948" s="194"/>
    </row>
    <row r="949">
      <c r="A949" s="37"/>
      <c r="B949" s="198"/>
      <c r="C949" s="194"/>
    </row>
    <row r="950">
      <c r="A950" s="37"/>
      <c r="B950" s="198"/>
      <c r="C950" s="194"/>
    </row>
    <row r="951">
      <c r="A951" s="37"/>
      <c r="B951" s="198"/>
      <c r="C951" s="194"/>
    </row>
    <row r="952">
      <c r="A952" s="37"/>
      <c r="B952" s="198"/>
      <c r="C952" s="194"/>
    </row>
    <row r="953">
      <c r="A953" s="37"/>
      <c r="B953" s="198"/>
      <c r="C953" s="194"/>
    </row>
    <row r="954">
      <c r="A954" s="37"/>
      <c r="B954" s="198"/>
      <c r="C954" s="194"/>
    </row>
    <row r="955">
      <c r="A955" s="37"/>
      <c r="B955" s="198"/>
      <c r="C955" s="194"/>
    </row>
    <row r="956">
      <c r="A956" s="37"/>
      <c r="B956" s="198"/>
      <c r="C956" s="194"/>
    </row>
    <row r="957">
      <c r="A957" s="37"/>
      <c r="B957" s="198"/>
      <c r="C957" s="194"/>
    </row>
    <row r="958">
      <c r="A958" s="37"/>
      <c r="B958" s="198"/>
      <c r="C958" s="194"/>
    </row>
    <row r="959">
      <c r="A959" s="37"/>
      <c r="B959" s="198"/>
      <c r="C959" s="194"/>
    </row>
    <row r="960">
      <c r="A960" s="37"/>
      <c r="B960" s="198"/>
      <c r="C960" s="194"/>
    </row>
    <row r="961">
      <c r="A961" s="37"/>
      <c r="B961" s="153"/>
      <c r="C961" s="194"/>
    </row>
    <row r="962">
      <c r="A962" s="37"/>
      <c r="B962" s="198"/>
      <c r="C962" s="194"/>
    </row>
    <row r="963">
      <c r="A963" s="37"/>
      <c r="B963" s="198"/>
      <c r="C963" s="194"/>
    </row>
    <row r="964">
      <c r="A964" s="37"/>
      <c r="B964" s="198"/>
      <c r="C964" s="194"/>
    </row>
    <row r="965">
      <c r="A965" s="37"/>
      <c r="B965" s="198"/>
      <c r="C965" s="194"/>
    </row>
    <row r="966">
      <c r="A966" s="37"/>
      <c r="B966" s="198"/>
      <c r="C966" s="194"/>
    </row>
    <row r="967">
      <c r="A967" s="37"/>
      <c r="B967" s="198"/>
      <c r="C967" s="194"/>
    </row>
    <row r="968">
      <c r="A968" s="37"/>
      <c r="B968" s="198"/>
      <c r="C968" s="194"/>
    </row>
    <row r="969">
      <c r="B969" s="129"/>
      <c r="C969" s="215"/>
    </row>
  </sheetData>
  <mergeCells count="11">
    <mergeCell ref="A10:C10"/>
    <mergeCell ref="A11:B11"/>
    <mergeCell ref="A88:C88"/>
    <mergeCell ref="A89:B89"/>
    <mergeCell ref="A1:C1"/>
    <mergeCell ref="A2:C2"/>
    <mergeCell ref="A3:C3"/>
    <mergeCell ref="A4:C4"/>
    <mergeCell ref="A5:B5"/>
    <mergeCell ref="A6:B6"/>
    <mergeCell ref="A7:B7"/>
  </mergeCells>
  <drawing r:id="rId1"/>
</worksheet>
</file>